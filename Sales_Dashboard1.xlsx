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d.docs.live.net/cdb77814736cf2b9/Desktop/"/>
    </mc:Choice>
  </mc:AlternateContent>
  <bookViews>
    <workbookView xWindow="0" yWindow="0" windowWidth="23040" windowHeight="9072" activeTab="2"/>
  </bookViews>
  <sheets>
    <sheet name="Pivot Table" sheetId="5" r:id="rId1"/>
    <sheet name="Sheet1" sheetId="1" r:id="rId2"/>
    <sheet name="Dashboard" sheetId="7" r:id="rId3"/>
  </sheets>
  <definedNames>
    <definedName name="Slicer_Product">#N/A</definedName>
    <definedName name="Slicer_Region">#N/A</definedName>
    <definedName name="Slicer_Sales_Person">#N/A</definedName>
  </definedNames>
  <calcPr calcId="162913"/>
  <pivotCaches>
    <pivotCache cacheId="1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 i="1" l="1"/>
  <c r="K8" i="1"/>
  <c r="K4" i="1"/>
  <c r="K2" i="1"/>
  <c r="I3" i="1"/>
  <c r="I5" i="1"/>
  <c r="I6" i="1"/>
  <c r="I7" i="1"/>
  <c r="I8" i="1"/>
  <c r="I9" i="1"/>
  <c r="I10" i="1"/>
  <c r="I11" i="1"/>
  <c r="I12" i="1"/>
  <c r="I13" i="1"/>
  <c r="I14" i="1"/>
  <c r="I15" i="1"/>
  <c r="I16" i="1"/>
  <c r="I17" i="1"/>
  <c r="I18" i="1"/>
  <c r="I19" i="1"/>
  <c r="I20" i="1"/>
  <c r="I21" i="1"/>
  <c r="I22" i="1"/>
  <c r="I23" i="1"/>
  <c r="I24" i="1"/>
  <c r="I25" i="1"/>
  <c r="I26" i="1"/>
  <c r="I2" i="1"/>
  <c r="K6" i="1" l="1"/>
</calcChain>
</file>

<file path=xl/sharedStrings.xml><?xml version="1.0" encoding="utf-8"?>
<sst xmlns="http://schemas.openxmlformats.org/spreadsheetml/2006/main" count="128" uniqueCount="38">
  <si>
    <t>Date</t>
  </si>
  <si>
    <t>Sales Person</t>
  </si>
  <si>
    <t>Region</t>
  </si>
  <si>
    <t>Product</t>
  </si>
  <si>
    <t>Unit Price</t>
  </si>
  <si>
    <t>Cost of Goods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</si>
  <si>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</si>
  <si>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</si>
  <si>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</si>
  <si>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</si>
  <si>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</si>
  <si>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</si>
  <si>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</si>
  <si>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</si>
  <si>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</si>
  <si>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</si>
  <si>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</si>
  <si>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</si>
  <si>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</si>
  <si>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</si>
  <si>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</si>
  <si>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</si>
  <si>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</si>
  <si>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</si>
  <si>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</si>
  <si>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</si>
  <si>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</si>
  <si>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grand total</t>
  </si>
  <si>
    <t>unit sold</t>
  </si>
  <si>
    <t>total profit</t>
  </si>
  <si>
    <t>average sales</t>
  </si>
  <si>
    <t xml:space="preserve">Total sales </t>
  </si>
  <si>
    <t>UnitsSold</t>
  </si>
  <si>
    <t>Profit</t>
  </si>
  <si>
    <t>Row Labels</t>
  </si>
  <si>
    <t>Grand Total</t>
  </si>
  <si>
    <t xml:space="preserve">Sum of Total sales </t>
  </si>
  <si>
    <t>Sum of UnitsSold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</si>
</sst>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 #,##0.00_ ;_ * \-#,##0.00_ ;_ * &quot;-&quot;??_ ;_ @_ "/>
    <numFmt numFmtId="170" formatCode="&quot;₹&quot;\ #,##0"/>
    <numFmt numFmtId="171" formatCode="\ #,##0"/>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0" fontId="2" fillId="0" borderId="0" xfId="0" applyFont="1" applyAlignment="1">
      <alignment horizontal="center"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14" fontId="0" fillId="0" borderId="0" xfId="0" applyNumberFormat="1" applyAlignment="1">
      <alignment vertical="center" wrapText="1"/>
    </xf>
    <xf numFmtId="0" fontId="0" fillId="0" borderId="0" xfId="0" applyAlignment="1">
      <alignment vertical="center" wrapText="1"/>
    </xf>
    <xf numFmtId="43" fontId="0" fillId="0" borderId="0" xfId="1" applyFont="1"/>
    <xf numFmtId="0" fontId="0" fillId="0" borderId="0" xfId="0" pivotButton="1"/>
    <xf numFmtId="0" fontId="0" fillId="0" borderId="0" xfId="0" applyAlignment="1">
      <alignment horizontal="left"/>
    </xf>
    <xf numFmtId="0" fontId="0" fillId="0" borderId="0" xfId="0" applyNumberFormat="1"/>
    <xf numFmtId="170" fontId="0" fillId="0" borderId="0" xfId="0" applyNumberFormat="1"/>
    <xf numFmtId="171" fontId="0" fillId="0" borderId="0" xfId="0" applyNumberFormat="1"/>
  </cellXfs>
  <cellStyles count="2">
    <cellStyle name="Comma" xfId="1" builtinId="3"/>
    <cellStyle name="Normal" xfId="0" builtinId="0"/>
  </cellStyles>
  <dxfs count="10">
    <dxf>
      <font>
        <b/>
        <i val="0"/>
        <strike val="0"/>
        <condense val="0"/>
        <extend val="0"/>
        <outline val="0"/>
        <shadow val="0"/>
        <u val="none"/>
        <vertAlign val="baseline"/>
        <sz val="11"/>
        <color theme="1"/>
        <name val="Calibri"/>
        <scheme val="minor"/>
      </font>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[Sales_Dashboard1.xlsx]Pivot Table!PivotTable11</c:name>
    <c:fmtId val="8"/>
  </c:pivotSource>
  <c:chart>
    <c:autoTitleDeleted val="1"/>
    <c:pivotFmts>
      <c:pivotFmt>
        <c:idx val="0"/>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w="19050">
            <a:solidFill>
              <a:schemeClr val="lt1"/>
            </a:solidFill>
          </a:ln>
          <a:effectLst/>
        </c:spPr>
        <c:dLbl>
          <c:idx val="0"/>
          <c:layout>
            <c:manualLayout>
              <c:x val="0.15718167850969847"/>
              <c:y val="-8.79629629629629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80477135480015"/>
                  <c:h val="6.9375182268883062E-2"/>
                </c:manualLayout>
              </c15:layout>
            </c:ext>
          </c:extLst>
        </c:dLbl>
      </c:pivotFmt>
      <c:pivotFmt>
        <c:idx val="2"/>
        <c:spPr>
          <a:solidFill>
            <a:schemeClr val="accent2"/>
          </a:solidFill>
          <a:ln w="19050">
            <a:solidFill>
              <a:schemeClr val="lt1"/>
            </a:solidFill>
          </a:ln>
          <a:effectLst/>
        </c:spPr>
        <c:dLbl>
          <c:idx val="0"/>
          <c:layout>
            <c:manualLayout>
              <c:x val="0.16260162601626008"/>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3"/>
          </a:solidFill>
          <a:ln w="19050">
            <a:solidFill>
              <a:schemeClr val="lt1"/>
            </a:solidFill>
          </a:ln>
          <a:effectLst/>
        </c:spPr>
        <c:dLbl>
          <c:idx val="0"/>
          <c:layout>
            <c:manualLayout>
              <c:x val="-0.22222222222222224"/>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4"/>
          </a:solidFill>
          <a:ln w="19050">
            <a:solidFill>
              <a:schemeClr val="lt1"/>
            </a:solidFill>
          </a:ln>
          <a:effectLst/>
        </c:spPr>
        <c:dLbl>
          <c:idx val="0"/>
          <c:layout>
            <c:manualLayout>
              <c:x val="-0.13821138211382114"/>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57-402A-9895-139986498A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9557-402A-9895-139986498A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9557-402A-9895-139986498A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9557-402A-9895-139986498AAE}"/>
              </c:ext>
            </c:extLst>
          </c:dPt>
          <c:dLbls>
            <c:dLbl>
              <c:idx val="0"/>
              <c:layout>
                <c:manualLayout>
                  <c:x val="0.15718167850969847"/>
                  <c:y val="-8.79629629629629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80477135480015"/>
                      <c:h val="6.9375182268883062E-2"/>
                    </c:manualLayout>
                  </c15:layout>
                </c:ext>
                <c:ext xmlns:c16="http://schemas.microsoft.com/office/drawing/2014/chart" uri="{C3380CC4-5D6E-409C-BE32-E72D297353CC}">
                  <c16:uniqueId val="{00000001-9557-402A-9895-139986498AAE}"/>
                </c:ext>
              </c:extLst>
            </c:dLbl>
            <c:dLbl>
              <c:idx val="1"/>
              <c:layout>
                <c:manualLayout>
                  <c:x val="0.16260162601626008"/>
                  <c:y val="8.796296296296296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9557-402A-9895-139986498AAE}"/>
                </c:ext>
              </c:extLst>
            </c:dLbl>
            <c:dLbl>
              <c:idx val="2"/>
              <c:layout>
                <c:manualLayout>
                  <c:x val="-0.22222222222222224"/>
                  <c:y val="4.166666666666658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9557-402A-9895-139986498AAE}"/>
                </c:ext>
              </c:extLst>
            </c:dLbl>
            <c:dLbl>
              <c:idx val="3"/>
              <c:layout>
                <c:manualLayout>
                  <c:x val="-0.13821138211382114"/>
                  <c:y val="-0.1018518518518518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9557-402A-9895-139986498A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Table'!$A$4:$A$8</c:f>
              <c:strCache>
                <c:ptCount val="4"/>
                <c:pt idx="0">
                  <c:v>East</c:v>
                </c:pt>
                <c:pt idx="1">
                  <c:v>North</c:v>
                </c:pt>
                <c:pt idx="2">
                  <c:v>South</c:v>
                </c:pt>
                <c:pt idx="3">
                  <c:v>West</c:v>
                </c:pt>
              </c:strCache>
            </c:strRef>
          </c:cat>
          <c:val>
            <c:numRef>
              <c:f>'Pivot Table'!$B$4:$B$8</c:f>
              <c:numCache>
                <c:formatCode>"₹"\ #,##0</c:formatCode>
                <c:ptCount val="4"/>
                <c:pt idx="0">
                  <c:v>1433200</c:v>
                </c:pt>
                <c:pt idx="1">
                  <c:v>1668000</c:v>
                </c:pt>
                <c:pt idx="2">
                  <c:v>2500200</c:v>
                </c:pt>
                <c:pt idx="3">
                  <c:v>2776600</c:v>
                </c:pt>
              </c:numCache>
            </c:numRef>
          </c:val>
          <c:extLst>
            <c:ext xmlns:c16="http://schemas.microsoft.com/office/drawing/2014/chart" uri="{C3380CC4-5D6E-409C-BE32-E72D297353CC}">
              <c16:uniqueId val="{00000000-9557-402A-9895-139986498AA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[Sales_Dashboard1.xlsx]Pivot Table!PivotTable12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solidFill>
            <a:schemeClr val="accent1"/>
          </a:solidFill>
          <a:ln>
            <a:noFill/>
          </a:ln>
          <a:effectLst/>
        </c:spPr>
        <c:dLbl>
          <c:idx val="0"/>
          <c:layout>
            <c:manualLayout>
              <c:x val="-8.3333333333334356E-3"/>
              <c:y val="-4.145844794406510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122069116360454"/>
          <c:y val="7.2364672364672367E-2"/>
          <c:w val="0.79377930883639547"/>
          <c:h val="0.90049857549857548"/>
        </c:manualLayout>
      </c:layout>
      <c:barChart>
        <c:barDir val="bar"/>
        <c:grouping val="clustered"/>
        <c:varyColors val="0"/>
        <c:ser>
          <c:idx val="0"/>
          <c:order val="0"/>
          <c:tx>
            <c:strRef>
              <c:f>'Pivot Table'!$F$4</c:f>
              <c:strCache>
                <c:ptCount val="1"/>
                <c:pt idx="0">
                  <c:v>Total</c:v>
                </c:pt>
              </c:strCache>
            </c:strRef>
          </c:tx>
          <c:spPr>
            <a:solidFill>
              <a:schemeClr val="accent1"/>
            </a:solidFill>
            <a:ln>
              <a:noFill/>
            </a:ln>
            <a:effectLst/>
          </c:spPr>
          <c:invertIfNegative val="0"/>
          <c:dLbls>
            <c:dLbl>
              <c:idx val="4"/>
              <c:layout>
                <c:manualLayout>
                  <c:x val="-8.3333333333334356E-3"/>
                  <c:y val="-4.1458447944065102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18B5-4159-945F-F0CF6384F6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Table'!$E$5:$E$12</c:f>
              <c:strCache>
                <c:ptCount val="7"/>
                <c:pt idx="0">
                  <c:v>Action Figure</c:v>
                </c:pt>
                <c:pt idx="1">
                  <c:v>Blender</c:v>
                </c:pt>
                <c:pt idx="2">
                  <c:v>Moisturizer</c:v>
                </c:pt>
                <c:pt idx="3">
                  <c:v>Novel</c:v>
                </c:pt>
                <c:pt idx="4">
                  <c:v>Smartphone</c:v>
                </c:pt>
                <c:pt idx="5">
                  <c:v>Sneakers</c:v>
                </c:pt>
                <c:pt idx="6">
                  <c:v>Tent</c:v>
                </c:pt>
              </c:strCache>
            </c:strRef>
          </c:cat>
          <c:val>
            <c:numRef>
              <c:f>'Pivot Table'!$F$5:$F$12</c:f>
              <c:numCache>
                <c:formatCode>\ #,##0</c:formatCode>
                <c:ptCount val="7"/>
                <c:pt idx="0">
                  <c:v>290400</c:v>
                </c:pt>
                <c:pt idx="1">
                  <c:v>1393000</c:v>
                </c:pt>
                <c:pt idx="2">
                  <c:v>165600</c:v>
                </c:pt>
                <c:pt idx="3">
                  <c:v>397000</c:v>
                </c:pt>
                <c:pt idx="4">
                  <c:v>1730000</c:v>
                </c:pt>
                <c:pt idx="5">
                  <c:v>2284000</c:v>
                </c:pt>
                <c:pt idx="6">
                  <c:v>2118000</c:v>
                </c:pt>
              </c:numCache>
            </c:numRef>
          </c:val>
          <c:extLst>
            <c:ext xmlns:c16="http://schemas.microsoft.com/office/drawing/2014/chart" uri="{C3380CC4-5D6E-409C-BE32-E72D297353CC}">
              <c16:uniqueId val="{00000000-18B5-4159-945F-F0CF6384F66B}"/>
            </c:ext>
          </c:extLst>
        </c:ser>
        <c:dLbls>
          <c:dLblPos val="outEnd"/>
          <c:showLegendKey val="0"/>
          <c:showVal val="1"/>
          <c:showCatName val="0"/>
          <c:showSerName val="0"/>
          <c:showPercent val="0"/>
          <c:showBubbleSize val="0"/>
        </c:dLbls>
        <c:gapWidth val="102"/>
        <c:axId val="358727711"/>
        <c:axId val="358725631"/>
      </c:barChart>
      <c:catAx>
        <c:axId val="35872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725631"/>
        <c:crosses val="autoZero"/>
        <c:auto val="1"/>
        <c:lblAlgn val="ctr"/>
        <c:lblOffset val="100"/>
        <c:noMultiLvlLbl val="0"/>
      </c:catAx>
      <c:valAx>
        <c:axId val="358725631"/>
        <c:scaling>
          <c:orientation val="minMax"/>
        </c:scaling>
        <c:delete val="1"/>
        <c:axPos val="b"/>
        <c:numFmt formatCode="\ #,##0" sourceLinked="1"/>
        <c:majorTickMark val="none"/>
        <c:minorTickMark val="none"/>
        <c:tickLblPos val="nextTo"/>
        <c:crossAx val="3587277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[Sales_Dashboard1.xlsx]Pivot Table!PivotTable13</c:name>
    <c:fmtId val="1"/>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pivotFmt>
    </c:pivotFmts>
    <c:plotArea>
      <c:layout>
        <c:manualLayout>
          <c:layoutTarget val="inner"/>
          <c:xMode val="edge"/>
          <c:yMode val="edge"/>
          <c:x val="9.6181102362204729E-3"/>
          <c:y val="0"/>
          <c:w val="0.93888888888888888"/>
          <c:h val="0.8416746864975212"/>
        </c:manualLayout>
      </c:layout>
      <c:barChart>
        <c:barDir val="col"/>
        <c:grouping val="clustered"/>
        <c:varyColors val="0"/>
        <c:ser>
          <c:idx val="0"/>
          <c:order val="0"/>
          <c:tx>
            <c:strRef>
              <c:f>'Pivot Table'!$J$4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Table'!$I$5:$I$15</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Table'!$J$5:$J$15</c:f>
              <c:numCache>
                <c:formatCode>"₹"\ #,##0</c:formatCode>
                <c:ptCount val="10"/>
                <c:pt idx="0">
                  <c:v>896800</c:v>
                </c:pt>
                <c:pt idx="1">
                  <c:v>748600</c:v>
                </c:pt>
                <c:pt idx="2">
                  <c:v>357000</c:v>
                </c:pt>
                <c:pt idx="3">
                  <c:v>1141200</c:v>
                </c:pt>
                <c:pt idx="4">
                  <c:v>1638000</c:v>
                </c:pt>
                <c:pt idx="5">
                  <c:v>739200</c:v>
                </c:pt>
                <c:pt idx="6">
                  <c:v>1678000</c:v>
                </c:pt>
                <c:pt idx="7">
                  <c:v>586200</c:v>
                </c:pt>
                <c:pt idx="8">
                  <c:v>515000</c:v>
                </c:pt>
                <c:pt idx="9">
                  <c:v>78000</c:v>
                </c:pt>
              </c:numCache>
            </c:numRef>
          </c:val>
          <c:extLst>
            <c:ext xmlns:c16="http://schemas.microsoft.com/office/drawing/2014/chart" uri="{C3380CC4-5D6E-409C-BE32-E72D297353CC}">
              <c16:uniqueId val="{00000000-A31D-4B0F-9805-056E880CC2E3}"/>
            </c:ext>
          </c:extLst>
        </c:ser>
        <c:dLbls>
          <c:dLblPos val="outEnd"/>
          <c:showLegendKey val="0"/>
          <c:showVal val="1"/>
          <c:showCatName val="0"/>
          <c:showSerName val="0"/>
          <c:showPercent val="0"/>
          <c:showBubbleSize val="0"/>
        </c:dLbls>
        <c:gapWidth val="90"/>
        <c:overlap val="-27"/>
        <c:axId val="365892655"/>
        <c:axId val="365893487"/>
      </c:barChart>
      <c:catAx>
        <c:axId val="3658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93487"/>
        <c:crosses val="autoZero"/>
        <c:auto val="1"/>
        <c:lblAlgn val="ctr"/>
        <c:lblOffset val="100"/>
        <c:noMultiLvlLbl val="0"/>
      </c:catAx>
      <c:valAx>
        <c:axId val="365893487"/>
        <c:scaling>
          <c:orientation val="minMax"/>
        </c:scaling>
        <c:delete val="1"/>
        <c:axPos val="l"/>
        <c:numFmt formatCode="&quot;₹&quot;\ #,##0" sourceLinked="1"/>
        <c:majorTickMark val="none"/>
        <c:minorTickMark val="none"/>
        <c:tickLblPos val="nextTo"/>
        <c:crossAx val="3658926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[Sales_Dashboard1.xlsx]Pivot Table!PivotTable14</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layout/>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
      </c:pivotFmt>
      <c:pivotFmt>
        <c:idx val="3"/>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Table'!$N$4</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delete val="1"/>
          </c:dLbls>
          <c:cat>
            <c:strRef>
              <c:f>'Pivot Table'!$M$5:$M$12</c:f>
              <c:strCache>
                <c:ptCount val="7"/>
                <c:pt idx="0">
                  <c:v>Action Figure</c:v>
                </c:pt>
                <c:pt idx="1">
                  <c:v>Blender</c:v>
                </c:pt>
                <c:pt idx="2">
                  <c:v>Moisturizer</c:v>
                </c:pt>
                <c:pt idx="3">
                  <c:v>Novel</c:v>
                </c:pt>
                <c:pt idx="4">
                  <c:v>Smartphone</c:v>
                </c:pt>
                <c:pt idx="5">
                  <c:v>Sneakers</c:v>
                </c:pt>
                <c:pt idx="6">
                  <c:v>Tent</c:v>
                </c:pt>
              </c:strCache>
            </c:strRef>
          </c:cat>
          <c:val>
            <c:numRef>
              <c:f>'Pivot Table'!$N$5:$N$12</c:f>
              <c:numCache>
                <c:formatCode>General</c:formatCode>
                <c:ptCount val="7"/>
                <c:pt idx="0">
                  <c:v>242</c:v>
                </c:pt>
                <c:pt idx="1">
                  <c:v>398</c:v>
                </c:pt>
                <c:pt idx="2">
                  <c:v>276</c:v>
                </c:pt>
                <c:pt idx="3">
                  <c:v>397</c:v>
                </c:pt>
                <c:pt idx="4">
                  <c:v>173</c:v>
                </c:pt>
                <c:pt idx="5">
                  <c:v>571</c:v>
                </c:pt>
                <c:pt idx="6">
                  <c:v>353</c:v>
                </c:pt>
              </c:numCache>
            </c:numRef>
          </c:val>
          <c:smooth val="0"/>
          <c:extLst>
            <c:ext xmlns:c16="http://schemas.microsoft.com/office/drawing/2014/chart" uri="{C3380CC4-5D6E-409C-BE32-E72D297353CC}">
              <c16:uniqueId val="{00000000-D5E7-4FDF-AA3D-53915498CCF0}"/>
            </c:ext>
          </c:extLst>
        </c:ser>
        <c:dLbls>
          <c:dLblPos val="ctr"/>
          <c:showLegendKey val="0"/>
          <c:showVal val="1"/>
          <c:showCatName val="0"/>
          <c:showSerName val="0"/>
          <c:showPercent val="0"/>
          <c:showBubbleSize val="0"/>
        </c:dLbls>
        <c:marker val="1"/>
        <c:smooth val="0"/>
        <c:axId val="725431071"/>
        <c:axId val="725429823"/>
      </c:lineChart>
      <c:catAx>
        <c:axId val="72543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25429823"/>
        <c:crosses val="autoZero"/>
        <c:auto val="1"/>
        <c:lblAlgn val="ctr"/>
        <c:lblOffset val="100"/>
        <c:noMultiLvlLbl val="0"/>
      </c:catAx>
      <c:valAx>
        <c:axId val="725429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310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[Sales_Dashboard1.xlsx]Pivot Table!PivotTable14</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38100" cap="rnd">
            <a:solidFill>
              <a:schemeClr val="accent1"/>
            </a:solidFill>
            <a:round/>
          </a:ln>
          <a:effectLst/>
        </c:spPr>
        <c:marker>
          <c:symbol val="circle"/>
          <c:size val="8"/>
          <c:spPr>
            <a:solidFill>
              <a:schemeClr val="accent1"/>
            </a:solidFill>
            <a:ln>
              <a:noFill/>
            </a:ln>
            <a:effectLst/>
          </c:spPr>
        </c:marker>
      </c:pivotFmt>
      <c:pivotFmt>
        <c:idx val="6"/>
        <c:spPr>
          <a:ln w="38100" cap="rnd">
            <a:solidFill>
              <a:schemeClr val="accent1"/>
            </a:solidFill>
            <a:round/>
          </a:ln>
          <a:effectLst/>
        </c:spPr>
        <c:marker>
          <c:symbol val="circle"/>
          <c:size val="8"/>
          <c:spPr>
            <a:solidFill>
              <a:schemeClr val="accent1"/>
            </a:solidFill>
            <a:ln>
              <a:noFill/>
            </a:ln>
            <a:effectLst/>
          </c:spPr>
        </c:marker>
      </c:pivotFmt>
    </c:pivotFmts>
    <c:plotArea>
      <c:layout/>
      <c:lineChart>
        <c:grouping val="standard"/>
        <c:varyColors val="0"/>
        <c:ser>
          <c:idx val="0"/>
          <c:order val="0"/>
          <c:tx>
            <c:strRef>
              <c:f>'Pivot Table'!$N$4</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dLbls>
            <c:delete val="1"/>
          </c:dLbls>
          <c:cat>
            <c:strRef>
              <c:f>'Pivot Table'!$M$5:$M$12</c:f>
              <c:strCache>
                <c:ptCount val="7"/>
                <c:pt idx="0">
                  <c:v>Action Figure</c:v>
                </c:pt>
                <c:pt idx="1">
                  <c:v>Blender</c:v>
                </c:pt>
                <c:pt idx="2">
                  <c:v>Moisturizer</c:v>
                </c:pt>
                <c:pt idx="3">
                  <c:v>Novel</c:v>
                </c:pt>
                <c:pt idx="4">
                  <c:v>Smartphone</c:v>
                </c:pt>
                <c:pt idx="5">
                  <c:v>Sneakers</c:v>
                </c:pt>
                <c:pt idx="6">
                  <c:v>Tent</c:v>
                </c:pt>
              </c:strCache>
            </c:strRef>
          </c:cat>
          <c:val>
            <c:numRef>
              <c:f>'Pivot Table'!$N$5:$N$12</c:f>
              <c:numCache>
                <c:formatCode>General</c:formatCode>
                <c:ptCount val="7"/>
                <c:pt idx="0">
                  <c:v>242</c:v>
                </c:pt>
                <c:pt idx="1">
                  <c:v>398</c:v>
                </c:pt>
                <c:pt idx="2">
                  <c:v>276</c:v>
                </c:pt>
                <c:pt idx="3">
                  <c:v>397</c:v>
                </c:pt>
                <c:pt idx="4">
                  <c:v>173</c:v>
                </c:pt>
                <c:pt idx="5">
                  <c:v>571</c:v>
                </c:pt>
                <c:pt idx="6">
                  <c:v>353</c:v>
                </c:pt>
              </c:numCache>
            </c:numRef>
          </c:val>
          <c:smooth val="0"/>
          <c:extLst>
            <c:ext xmlns:c16="http://schemas.microsoft.com/office/drawing/2014/chart" uri="{C3380CC4-5D6E-409C-BE32-E72D297353CC}">
              <c16:uniqueId val="{00000000-809D-411B-A36F-CB15E44539CE}"/>
            </c:ext>
          </c:extLst>
        </c:ser>
        <c:dLbls>
          <c:dLblPos val="ctr"/>
          <c:showLegendKey val="0"/>
          <c:showVal val="1"/>
          <c:showCatName val="0"/>
          <c:showSerName val="0"/>
          <c:showPercent val="0"/>
          <c:showBubbleSize val="0"/>
        </c:dLbls>
        <c:marker val="1"/>
        <c:smooth val="0"/>
        <c:axId val="725431071"/>
        <c:axId val="725429823"/>
      </c:lineChart>
      <c:catAx>
        <c:axId val="725431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725429823"/>
        <c:crosses val="autoZero"/>
        <c:auto val="1"/>
        <c:lblAlgn val="ctr"/>
        <c:lblOffset val="100"/>
        <c:noMultiLvlLbl val="0"/>
      </c:catAx>
      <c:valAx>
        <c:axId val="72542982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no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3107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[Sales_Dashboard1.xlsx]Pivot Table!PivotTable11</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5718167850969847"/>
              <c:y val="-8.79629629629629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80477135480015"/>
                  <c:h val="6.9375182268883062E-2"/>
                </c:manualLayout>
              </c15:layout>
            </c:ext>
          </c:extLst>
        </c:dLbl>
      </c:pivotFmt>
      <c:pivotFmt>
        <c:idx val="2"/>
        <c:spPr>
          <a:solidFill>
            <a:schemeClr val="accent2"/>
          </a:solidFill>
          <a:ln w="19050">
            <a:solidFill>
              <a:schemeClr val="lt1"/>
            </a:solidFill>
          </a:ln>
          <a:effectLst/>
        </c:spPr>
        <c:dLbl>
          <c:idx val="0"/>
          <c:layout>
            <c:manualLayout>
              <c:x val="0.16260162601626008"/>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22222222222222224"/>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3821138211382114"/>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5718167850969847"/>
              <c:y val="-8.796296296296297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280477135480015"/>
                  <c:h val="6.9375182268883062E-2"/>
                </c:manualLayout>
              </c15:layout>
            </c:ext>
          </c:extLst>
        </c:dLbl>
      </c:pivotFmt>
      <c:pivotFmt>
        <c:idx val="7"/>
        <c:spPr>
          <a:solidFill>
            <a:schemeClr val="accent1"/>
          </a:solidFill>
          <a:ln w="19050">
            <a:solidFill>
              <a:schemeClr val="lt1"/>
            </a:solidFill>
          </a:ln>
          <a:effectLst/>
        </c:spPr>
        <c:dLbl>
          <c:idx val="0"/>
          <c:layout>
            <c:manualLayout>
              <c:x val="0.16260162601626008"/>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2222222222222224"/>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3821138211382114"/>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2954455281265895"/>
              <c:y val="-6.933587995365220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753051996072109"/>
                  <c:h val="0.1066293482875046"/>
                </c:manualLayout>
              </c15:layout>
            </c:ext>
          </c:extLst>
        </c:dLbl>
      </c:pivotFmt>
      <c:pivotFmt>
        <c:idx val="12"/>
        <c:spPr>
          <a:solidFill>
            <a:schemeClr val="accent1"/>
          </a:solidFill>
          <a:ln w="19050">
            <a:solidFill>
              <a:schemeClr val="lt1"/>
            </a:solidFill>
          </a:ln>
          <a:effectLst/>
        </c:spPr>
        <c:dLbl>
          <c:idx val="0"/>
          <c:layout>
            <c:manualLayout>
              <c:x val="0.16260162601626008"/>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3"/>
        <c:spPr>
          <a:solidFill>
            <a:schemeClr val="accent1"/>
          </a:solidFill>
          <a:ln w="19050">
            <a:solidFill>
              <a:schemeClr val="lt1"/>
            </a:solidFill>
          </a:ln>
          <a:effectLst/>
        </c:spPr>
        <c:dLbl>
          <c:idx val="0"/>
          <c:layout>
            <c:manualLayout>
              <c:x val="-0.22222222222222224"/>
              <c:y val="4.1666666666666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w="19050">
            <a:solidFill>
              <a:schemeClr val="lt1"/>
            </a:solidFill>
          </a:ln>
          <a:effectLst/>
        </c:spPr>
        <c:dLbl>
          <c:idx val="0"/>
          <c:layout>
            <c:manualLayout>
              <c:x val="-0.13821138211382114"/>
              <c:y val="-0.101851851851851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807625444009359"/>
          <c:y val="0.12407718518065317"/>
          <c:w val="0.37688969170899655"/>
          <c:h val="0.65139191715420397"/>
        </c:manualLayout>
      </c:layout>
      <c:doughnutChart>
        <c:varyColors val="1"/>
        <c:ser>
          <c:idx val="0"/>
          <c:order val="0"/>
          <c:tx>
            <c:strRef>
              <c:f>'Pivot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4C-49D0-BB73-01FF1D0A26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4C-49D0-BB73-01FF1D0A26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4C-49D0-BB73-01FF1D0A26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4C-49D0-BB73-01FF1D0A26B7}"/>
              </c:ext>
            </c:extLst>
          </c:dPt>
          <c:dLbls>
            <c:dLbl>
              <c:idx val="0"/>
              <c:layout>
                <c:manualLayout>
                  <c:x val="0.22954455281265895"/>
                  <c:y val="-6.933587995365220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753051996072109"/>
                      <c:h val="0.1066293482875046"/>
                    </c:manualLayout>
                  </c15:layout>
                </c:ext>
                <c:ext xmlns:c16="http://schemas.microsoft.com/office/drawing/2014/chart" uri="{C3380CC4-5D6E-409C-BE32-E72D297353CC}">
                  <c16:uniqueId val="{00000001-1C4C-49D0-BB73-01FF1D0A26B7}"/>
                </c:ext>
              </c:extLst>
            </c:dLbl>
            <c:dLbl>
              <c:idx val="1"/>
              <c:layout>
                <c:manualLayout>
                  <c:x val="0.16260162601626008"/>
                  <c:y val="8.7962962962962965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1C4C-49D0-BB73-01FF1D0A26B7}"/>
                </c:ext>
              </c:extLst>
            </c:dLbl>
            <c:dLbl>
              <c:idx val="2"/>
              <c:layout>
                <c:manualLayout>
                  <c:x val="-0.22222222222222224"/>
                  <c:y val="4.1666666666666581E-2"/>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1C4C-49D0-BB73-01FF1D0A26B7}"/>
                </c:ext>
              </c:extLst>
            </c:dLbl>
            <c:dLbl>
              <c:idx val="3"/>
              <c:layout>
                <c:manualLayout>
                  <c:x val="-0.13821138211382114"/>
                  <c:y val="-0.10185185185185185"/>
                </c:manualLayout>
              </c:layout>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7-1C4C-49D0-BB73-01FF1D0A26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Table'!$A$4:$A$8</c:f>
              <c:strCache>
                <c:ptCount val="4"/>
                <c:pt idx="0">
                  <c:v>East</c:v>
                </c:pt>
                <c:pt idx="1">
                  <c:v>North</c:v>
                </c:pt>
                <c:pt idx="2">
                  <c:v>South</c:v>
                </c:pt>
                <c:pt idx="3">
                  <c:v>West</c:v>
                </c:pt>
              </c:strCache>
            </c:strRef>
          </c:cat>
          <c:val>
            <c:numRef>
              <c:f>'Pivot Table'!$B$4:$B$8</c:f>
              <c:numCache>
                <c:formatCode>"₹"\ #,##0</c:formatCode>
                <c:ptCount val="4"/>
                <c:pt idx="0">
                  <c:v>1433200</c:v>
                </c:pt>
                <c:pt idx="1">
                  <c:v>1668000</c:v>
                </c:pt>
                <c:pt idx="2">
                  <c:v>2500200</c:v>
                </c:pt>
                <c:pt idx="3">
                  <c:v>2776600</c:v>
                </c:pt>
              </c:numCache>
            </c:numRef>
          </c:val>
          <c:extLst>
            <c:ext xmlns:c16="http://schemas.microsoft.com/office/drawing/2014/chart" uri="{C3380CC4-5D6E-409C-BE32-E72D297353CC}">
              <c16:uniqueId val="{00000008-1C4C-49D0-BB73-01FF1D0A26B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[Sales_Dashboard1.xlsx]Pivot Table!PivotTable12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8.3333333333334356E-3"/>
              <c:y val="-4.145844794406510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8.3333333333334356E-3"/>
              <c:y val="-4.145844794406510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chemeClr val="accent1"/>
          </a:solidFill>
          <a:ln>
            <a:noFill/>
          </a:ln>
          <a:effectLst/>
        </c:spPr>
        <c:dLbl>
          <c:idx val="0"/>
          <c:layout>
            <c:manualLayout>
              <c:x val="-8.3333333333334356E-3"/>
              <c:y val="-4.1458447944065102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8122069116360454"/>
          <c:y val="7.2364672364672367E-2"/>
          <c:w val="0.79377930883639547"/>
          <c:h val="0.90049857549857548"/>
        </c:manualLayout>
      </c:layout>
      <c:barChart>
        <c:barDir val="bar"/>
        <c:grouping val="clustered"/>
        <c:varyColors val="0"/>
        <c:ser>
          <c:idx val="0"/>
          <c:order val="0"/>
          <c:tx>
            <c:strRef>
              <c:f>'Pivot Table'!$F$4</c:f>
              <c:strCache>
                <c:ptCount val="1"/>
                <c:pt idx="0">
                  <c:v>Total</c:v>
                </c:pt>
              </c:strCache>
            </c:strRef>
          </c:tx>
          <c:spPr>
            <a:solidFill>
              <a:schemeClr val="accent1"/>
            </a:solidFill>
            <a:ln>
              <a:noFill/>
            </a:ln>
            <a:effectLst/>
          </c:spPr>
          <c:invertIfNegative val="0"/>
          <c:dLbls>
            <c:dLbl>
              <c:idx val="4"/>
              <c:layout>
                <c:manualLayout>
                  <c:x val="-8.3333333333334356E-3"/>
                  <c:y val="-4.1458447944065102E-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3F8-4B5B-B64D-9C284DF8B2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Table'!$E$5:$E$12</c:f>
              <c:strCache>
                <c:ptCount val="7"/>
                <c:pt idx="0">
                  <c:v>Action Figure</c:v>
                </c:pt>
                <c:pt idx="1">
                  <c:v>Blender</c:v>
                </c:pt>
                <c:pt idx="2">
                  <c:v>Moisturizer</c:v>
                </c:pt>
                <c:pt idx="3">
                  <c:v>Novel</c:v>
                </c:pt>
                <c:pt idx="4">
                  <c:v>Smartphone</c:v>
                </c:pt>
                <c:pt idx="5">
                  <c:v>Sneakers</c:v>
                </c:pt>
                <c:pt idx="6">
                  <c:v>Tent</c:v>
                </c:pt>
              </c:strCache>
            </c:strRef>
          </c:cat>
          <c:val>
            <c:numRef>
              <c:f>'Pivot Table'!$F$5:$F$12</c:f>
              <c:numCache>
                <c:formatCode>\ #,##0</c:formatCode>
                <c:ptCount val="7"/>
                <c:pt idx="0">
                  <c:v>290400</c:v>
                </c:pt>
                <c:pt idx="1">
                  <c:v>1393000</c:v>
                </c:pt>
                <c:pt idx="2">
                  <c:v>165600</c:v>
                </c:pt>
                <c:pt idx="3">
                  <c:v>397000</c:v>
                </c:pt>
                <c:pt idx="4">
                  <c:v>1730000</c:v>
                </c:pt>
                <c:pt idx="5">
                  <c:v>2284000</c:v>
                </c:pt>
                <c:pt idx="6">
                  <c:v>2118000</c:v>
                </c:pt>
              </c:numCache>
            </c:numRef>
          </c:val>
          <c:extLst>
            <c:ext xmlns:c16="http://schemas.microsoft.com/office/drawing/2014/chart" uri="{C3380CC4-5D6E-409C-BE32-E72D297353CC}">
              <c16:uniqueId val="{00000001-D3F8-4B5B-B64D-9C284DF8B2A3}"/>
            </c:ext>
          </c:extLst>
        </c:ser>
        <c:dLbls>
          <c:dLblPos val="outEnd"/>
          <c:showLegendKey val="0"/>
          <c:showVal val="1"/>
          <c:showCatName val="0"/>
          <c:showSerName val="0"/>
          <c:showPercent val="0"/>
          <c:showBubbleSize val="0"/>
        </c:dLbls>
        <c:gapWidth val="102"/>
        <c:axId val="358727711"/>
        <c:axId val="358725631"/>
      </c:barChart>
      <c:catAx>
        <c:axId val="35872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725631"/>
        <c:crosses val="autoZero"/>
        <c:auto val="1"/>
        <c:lblAlgn val="ctr"/>
        <c:lblOffset val="100"/>
        <c:noMultiLvlLbl val="0"/>
      </c:catAx>
      <c:valAx>
        <c:axId val="358725631"/>
        <c:scaling>
          <c:orientation val="minMax"/>
        </c:scaling>
        <c:delete val="1"/>
        <c:axPos val="b"/>
        <c:numFmt formatCode="\ #,##0" sourceLinked="1"/>
        <c:majorTickMark val="none"/>
        <c:minorTickMark val="none"/>
        <c:tickLblPos val="nextTo"/>
        <c:crossAx val="3587277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[Sales_Dashboard1.xlsx]Pivot Table!PivotTable13</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338886778481639E-2"/>
          <c:y val="3.6660182080862191E-2"/>
          <c:w val="0.94049978127734035"/>
          <c:h val="0.8416746864975212"/>
        </c:manualLayout>
      </c:layout>
      <c:barChart>
        <c:barDir val="col"/>
        <c:grouping val="clustered"/>
        <c:varyColors val="0"/>
        <c:ser>
          <c:idx val="0"/>
          <c:order val="0"/>
          <c:tx>
            <c:strRef>
              <c:f>'Pivot Table'!$J$4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Table'!$I$5:$I$15</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Table'!$J$5:$J$15</c:f>
              <c:numCache>
                <c:formatCode>"₹"\ #,##0</c:formatCode>
                <c:ptCount val="10"/>
                <c:pt idx="0">
                  <c:v>896800</c:v>
                </c:pt>
                <c:pt idx="1">
                  <c:v>748600</c:v>
                </c:pt>
                <c:pt idx="2">
                  <c:v>357000</c:v>
                </c:pt>
                <c:pt idx="3">
                  <c:v>1141200</c:v>
                </c:pt>
                <c:pt idx="4">
                  <c:v>1638000</c:v>
                </c:pt>
                <c:pt idx="5">
                  <c:v>739200</c:v>
                </c:pt>
                <c:pt idx="6">
                  <c:v>1678000</c:v>
                </c:pt>
                <c:pt idx="7">
                  <c:v>586200</c:v>
                </c:pt>
                <c:pt idx="8">
                  <c:v>515000</c:v>
                </c:pt>
                <c:pt idx="9">
                  <c:v>78000</c:v>
                </c:pt>
              </c:numCache>
            </c:numRef>
          </c:val>
          <c:extLst>
            <c:ext xmlns:c16="http://schemas.microsoft.com/office/drawing/2014/chart" uri="{C3380CC4-5D6E-409C-BE32-E72D297353CC}">
              <c16:uniqueId val="{00000000-6A2B-42E5-9746-24147D7291ED}"/>
            </c:ext>
          </c:extLst>
        </c:ser>
        <c:dLbls>
          <c:dLblPos val="outEnd"/>
          <c:showLegendKey val="0"/>
          <c:showVal val="1"/>
          <c:showCatName val="0"/>
          <c:showSerName val="0"/>
          <c:showPercent val="0"/>
          <c:showBubbleSize val="0"/>
        </c:dLbls>
        <c:gapWidth val="90"/>
        <c:overlap val="-27"/>
        <c:axId val="365892655"/>
        <c:axId val="365893487"/>
      </c:barChart>
      <c:catAx>
        <c:axId val="365892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5893487"/>
        <c:crosses val="autoZero"/>
        <c:auto val="1"/>
        <c:lblAlgn val="ctr"/>
        <c:lblOffset val="100"/>
        <c:noMultiLvlLbl val="0"/>
      </c:catAx>
      <c:valAx>
        <c:axId val="365893487"/>
        <c:scaling>
          <c:orientation val="minMax"/>
        </c:scaling>
        <c:delete val="1"/>
        <c:axPos val="l"/>
        <c:numFmt formatCode="&quot;₹&quot;\ #,##0" sourceLinked="1"/>
        <c:majorTickMark val="none"/>
        <c:minorTickMark val="none"/>
        <c:tickLblPos val="nextTo"/>
        <c:crossAx val="36589265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image" Target="../media/image4.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171450</xdr:rowOff>
    </xdr:from>
    <xdr:to>
      <xdr:col>5</xdr:col>
      <xdr:colOff>601980</xdr:colOff>
      <xdr:row>27</xdr:row>
      <xdr:rowOff>171450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1074420</xdr:colOff>
      <xdr:row>32</xdr:row>
      <xdr:rowOff>11430</xdr:rowOff>
    </xdr:from>
    <xdr:to>
      <xdr:col>12</xdr:col>
      <xdr:colOff>60960</xdr:colOff>
      <xdr:row>47</xdr:row>
      <xdr:rowOff>76230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198120</xdr:colOff>
      <xdr:row>7</xdr:row>
      <xdr:rowOff>118110</xdr:rowOff>
    </xdr:from>
    <xdr:to>
      <xdr:col>9</xdr:col>
      <xdr:colOff>685800</xdr:colOff>
      <xdr:row>22</xdr:row>
      <xdr:rowOff>118110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434340</xdr:colOff>
      <xdr:row>4</xdr:row>
      <xdr:rowOff>156210</xdr:rowOff>
    </xdr:from>
    <xdr:to>
      <xdr:col>8</xdr:col>
      <xdr:colOff>563880</xdr:colOff>
      <xdr:row>19</xdr:row>
      <xdr:rowOff>156210</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16783</xdr:colOff>
      <xdr:row>0</xdr:row>
      <xdr:rowOff>0</xdr:rowOff>
    </xdr:from>
    <xdr:to>
      <xdr:col>21</xdr:col>
      <xdr:colOff>559442</xdr:colOff>
      <xdr:row>4</xdr:row>
      <xdr:rowOff>67517</xdr:rowOff>
    </xdr:to>
    <xdr:sp macro="" textlink="">
      <xdr:nvSpPr>
        <xdr:cNvPr id="2" name="Rounded Rectangle 1"/>
        <xdr:cNvSpPr/>
      </xdr:nvSpPr>
      <xdr:spPr>
        <a:xfrm>
          <a:off x="16783" y="0"/>
          <a:ext cx="13303748" cy="8005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a:t>
          </a:r>
        </a:p>
      </xdr:txBody>
    </xdr:sp>
    <xdr:clientData/>
  </xdr:twoCellAnchor>
  <xdr:oneCellAnchor>
    <xdr:from>
      <xdr:col>1</xdr:col>
      <xdr:colOff>251460</xdr:colOff>
      <xdr:row>6</xdr:row>
      <xdr:rowOff>167640</xdr:rowOff>
    </xdr:from>
    <xdr:ext cx="1272540" cy="220980"/>
    <xdr:sp macro="" textlink="">
      <xdr:nvSpPr>
        <xdr:cNvPr id="8" name="TextBox 7"/>
        <xdr:cNvSpPr txBox="1"/>
      </xdr:nvSpPr>
      <xdr:spPr>
        <a:xfrm>
          <a:off x="861060" y="1264920"/>
          <a:ext cx="1272540" cy="2209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100"/>
        </a:p>
      </xdr:txBody>
    </xdr:sp>
    <xdr:clientData/>
  </xdr:oneCellAnchor>
  <xdr:twoCellAnchor>
    <xdr:from>
      <xdr:col>0</xdr:col>
      <xdr:colOff>51314</xdr:colOff>
      <xdr:row>4</xdr:row>
      <xdr:rowOff>118351</xdr:rowOff>
    </xdr:from>
    <xdr:to>
      <xdr:col>4</xdr:col>
      <xdr:colOff>241814</xdr:colOff>
      <xdr:row>9</xdr:row>
      <xdr:rowOff>110731</xdr:rowOff>
    </xdr:to>
    <xdr:grpSp>
      <xdr:nvGrpSpPr>
        <xdr:cNvPr id="40" name="Group 39"/>
        <xdr:cNvGrpSpPr/>
      </xdr:nvGrpSpPr>
      <xdr:grpSpPr>
        <a:xfrm>
          <a:off x="51314" y="851414"/>
          <a:ext cx="2621184" cy="908709"/>
          <a:chOff x="60960" y="830580"/>
          <a:chExt cx="2628900" cy="906780"/>
        </a:xfrm>
      </xdr:grpSpPr>
      <xdr:sp macro="" textlink="">
        <xdr:nvSpPr>
          <xdr:cNvPr id="3" name="Rounded Rectangle 2"/>
          <xdr:cNvSpPr/>
        </xdr:nvSpPr>
        <xdr:spPr>
          <a:xfrm>
            <a:off x="60960" y="830580"/>
            <a:ext cx="2628900" cy="906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endParaRPr lang="en-IN" sz="2000" b="1"/>
          </a:p>
        </xdr:txBody>
      </xdr:sp>
      <xdr:sp macro="" textlink="">
        <xdr:nvSpPr>
          <xdr:cNvPr id="11" name="Rounded Rectangle 10"/>
          <xdr:cNvSpPr/>
        </xdr:nvSpPr>
        <xdr:spPr>
          <a:xfrm>
            <a:off x="129540" y="906780"/>
            <a:ext cx="735289" cy="762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TextBox 11"/>
          <xdr:cNvSpPr txBox="1"/>
        </xdr:nvSpPr>
        <xdr:spPr>
          <a:xfrm>
            <a:off x="1137929" y="944880"/>
            <a:ext cx="1292851"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TOTAL SALES</a:t>
            </a:r>
          </a:p>
        </xdr:txBody>
      </xdr:sp>
      <xdr:sp macro="" textlink="Sheet1!K2">
        <xdr:nvSpPr>
          <xdr:cNvPr id="39" name="TextBox 38"/>
          <xdr:cNvSpPr txBox="1"/>
        </xdr:nvSpPr>
        <xdr:spPr>
          <a:xfrm>
            <a:off x="1112520" y="1226820"/>
            <a:ext cx="118872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E799FA-CCFC-4A00-B36C-E5725896283F}" type="TxLink">
              <a:rPr lang="en-US" sz="1400" b="1" i="0" u="none" strike="noStrike">
                <a:solidFill>
                  <a:schemeClr val="accent1">
                    <a:lumMod val="50000"/>
                  </a:schemeClr>
                </a:solidFill>
                <a:latin typeface="Calibri"/>
                <a:ea typeface="Calibri"/>
                <a:cs typeface="Calibri"/>
              </a:rPr>
              <a:t> 83,78,000.00 </a:t>
            </a:fld>
            <a:endParaRPr lang="en-IN" sz="1400" b="1">
              <a:solidFill>
                <a:schemeClr val="accent1">
                  <a:lumMod val="50000"/>
                </a:schemeClr>
              </a:solidFill>
            </a:endParaRPr>
          </a:p>
        </xdr:txBody>
      </xdr:sp>
    </xdr:grpSp>
    <xdr:clientData/>
  </xdr:twoCellAnchor>
  <xdr:twoCellAnchor>
    <xdr:from>
      <xdr:col>8</xdr:col>
      <xdr:colOff>512565</xdr:colOff>
      <xdr:row>4</xdr:row>
      <xdr:rowOff>123945</xdr:rowOff>
    </xdr:from>
    <xdr:to>
      <xdr:col>13</xdr:col>
      <xdr:colOff>93465</xdr:colOff>
      <xdr:row>9</xdr:row>
      <xdr:rowOff>116325</xdr:rowOff>
    </xdr:to>
    <xdr:grpSp>
      <xdr:nvGrpSpPr>
        <xdr:cNvPr id="46" name="Group 45"/>
        <xdr:cNvGrpSpPr/>
      </xdr:nvGrpSpPr>
      <xdr:grpSpPr>
        <a:xfrm>
          <a:off x="5373932" y="857008"/>
          <a:ext cx="2619255" cy="908709"/>
          <a:chOff x="60960" y="830580"/>
          <a:chExt cx="2628900" cy="906780"/>
        </a:xfrm>
      </xdr:grpSpPr>
      <xdr:sp macro="" textlink="">
        <xdr:nvSpPr>
          <xdr:cNvPr id="47" name="Rounded Rectangle 46"/>
          <xdr:cNvSpPr/>
        </xdr:nvSpPr>
        <xdr:spPr>
          <a:xfrm>
            <a:off x="60960" y="830580"/>
            <a:ext cx="2628900" cy="906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endParaRPr lang="en-IN" sz="2000" b="1"/>
          </a:p>
        </xdr:txBody>
      </xdr:sp>
      <xdr:sp macro="" textlink="">
        <xdr:nvSpPr>
          <xdr:cNvPr id="48" name="Rounded Rectangle 47"/>
          <xdr:cNvSpPr/>
        </xdr:nvSpPr>
        <xdr:spPr>
          <a:xfrm>
            <a:off x="129540" y="906780"/>
            <a:ext cx="735289" cy="762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xdr:cNvSpPr txBox="1"/>
        </xdr:nvSpPr>
        <xdr:spPr>
          <a:xfrm>
            <a:off x="1198265" y="1019875"/>
            <a:ext cx="1148071"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UNIT</a:t>
            </a:r>
            <a:r>
              <a:rPr lang="en-IN" sz="1400" b="1" baseline="0">
                <a:solidFill>
                  <a:schemeClr val="accent1"/>
                </a:solidFill>
              </a:rPr>
              <a:t> SOLD</a:t>
            </a:r>
            <a:endParaRPr lang="en-IN" sz="1400" b="1">
              <a:solidFill>
                <a:schemeClr val="accent1"/>
              </a:solidFill>
            </a:endParaRPr>
          </a:p>
        </xdr:txBody>
      </xdr:sp>
      <xdr:sp macro="" textlink="Sheet1!K4">
        <xdr:nvSpPr>
          <xdr:cNvPr id="50" name="TextBox 49"/>
          <xdr:cNvSpPr txBox="1"/>
        </xdr:nvSpPr>
        <xdr:spPr>
          <a:xfrm>
            <a:off x="1295400" y="1234440"/>
            <a:ext cx="118872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CB4C53-F544-4555-B8E3-34465461601C}" type="TxLink">
              <a:rPr lang="en-US" sz="1200" b="1" i="0" u="none" strike="noStrike">
                <a:solidFill>
                  <a:schemeClr val="accent1">
                    <a:lumMod val="50000"/>
                  </a:schemeClr>
                </a:solidFill>
                <a:latin typeface="Calibri"/>
                <a:ea typeface="Calibri"/>
                <a:cs typeface="Calibri"/>
              </a:rPr>
              <a:t> 2,410.00 </a:t>
            </a:fld>
            <a:endParaRPr lang="en-IN" sz="1600" b="1">
              <a:solidFill>
                <a:schemeClr val="accent1">
                  <a:lumMod val="50000"/>
                </a:schemeClr>
              </a:solidFill>
            </a:endParaRPr>
          </a:p>
        </xdr:txBody>
      </xdr:sp>
    </xdr:grpSp>
    <xdr:clientData/>
  </xdr:twoCellAnchor>
  <xdr:twoCellAnchor>
    <xdr:from>
      <xdr:col>13</xdr:col>
      <xdr:colOff>139186</xdr:colOff>
      <xdr:row>4</xdr:row>
      <xdr:rowOff>125971</xdr:rowOff>
    </xdr:from>
    <xdr:to>
      <xdr:col>17</xdr:col>
      <xdr:colOff>329686</xdr:colOff>
      <xdr:row>9</xdr:row>
      <xdr:rowOff>118351</xdr:rowOff>
    </xdr:to>
    <xdr:grpSp>
      <xdr:nvGrpSpPr>
        <xdr:cNvPr id="51" name="Group 50"/>
        <xdr:cNvGrpSpPr/>
      </xdr:nvGrpSpPr>
      <xdr:grpSpPr>
        <a:xfrm>
          <a:off x="8038908" y="859034"/>
          <a:ext cx="2621183" cy="908709"/>
          <a:chOff x="60960" y="830580"/>
          <a:chExt cx="2628900" cy="906780"/>
        </a:xfrm>
      </xdr:grpSpPr>
      <xdr:sp macro="" textlink="">
        <xdr:nvSpPr>
          <xdr:cNvPr id="52" name="Rounded Rectangle 51"/>
          <xdr:cNvSpPr/>
        </xdr:nvSpPr>
        <xdr:spPr>
          <a:xfrm>
            <a:off x="60960" y="830580"/>
            <a:ext cx="2628900" cy="906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endParaRPr lang="en-IN" sz="2000" b="1"/>
          </a:p>
        </xdr:txBody>
      </xdr:sp>
      <xdr:sp macro="" textlink="">
        <xdr:nvSpPr>
          <xdr:cNvPr id="53" name="Rounded Rectangle 52"/>
          <xdr:cNvSpPr/>
        </xdr:nvSpPr>
        <xdr:spPr>
          <a:xfrm>
            <a:off x="129540" y="906780"/>
            <a:ext cx="735289" cy="762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4" name="TextBox 53"/>
          <xdr:cNvSpPr txBox="1"/>
        </xdr:nvSpPr>
        <xdr:spPr>
          <a:xfrm>
            <a:off x="1313189" y="967740"/>
            <a:ext cx="858511"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PROFIT</a:t>
            </a:r>
          </a:p>
        </xdr:txBody>
      </xdr:sp>
      <xdr:sp macro="" textlink="Sheet1!K6">
        <xdr:nvSpPr>
          <xdr:cNvPr id="55" name="TextBox 54"/>
          <xdr:cNvSpPr txBox="1"/>
        </xdr:nvSpPr>
        <xdr:spPr>
          <a:xfrm>
            <a:off x="1165860" y="1211580"/>
            <a:ext cx="118872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1C1398-CE35-4FE4-B404-DB137EC2B177}" type="TxLink">
              <a:rPr lang="en-US" sz="1200" b="1" i="0" u="none" strike="noStrike">
                <a:solidFill>
                  <a:schemeClr val="accent1">
                    <a:lumMod val="50000"/>
                  </a:schemeClr>
                </a:solidFill>
                <a:latin typeface="Calibri"/>
                <a:ea typeface="Calibri"/>
                <a:cs typeface="Calibri"/>
              </a:rPr>
              <a:t> 24,65,100.00 </a:t>
            </a:fld>
            <a:endParaRPr lang="en-IN" sz="1600" b="1">
              <a:solidFill>
                <a:schemeClr val="accent1">
                  <a:lumMod val="50000"/>
                </a:schemeClr>
              </a:solidFill>
            </a:endParaRPr>
          </a:p>
        </xdr:txBody>
      </xdr:sp>
    </xdr:grpSp>
    <xdr:clientData/>
  </xdr:twoCellAnchor>
  <xdr:twoCellAnchor>
    <xdr:from>
      <xdr:col>4</xdr:col>
      <xdr:colOff>279914</xdr:colOff>
      <xdr:row>4</xdr:row>
      <xdr:rowOff>121920</xdr:rowOff>
    </xdr:from>
    <xdr:to>
      <xdr:col>8</xdr:col>
      <xdr:colOff>470414</xdr:colOff>
      <xdr:row>9</xdr:row>
      <xdr:rowOff>114300</xdr:rowOff>
    </xdr:to>
    <xdr:grpSp>
      <xdr:nvGrpSpPr>
        <xdr:cNvPr id="79" name="Group 78"/>
        <xdr:cNvGrpSpPr/>
      </xdr:nvGrpSpPr>
      <xdr:grpSpPr>
        <a:xfrm>
          <a:off x="2710598" y="854983"/>
          <a:ext cx="2621183" cy="908709"/>
          <a:chOff x="60960" y="830580"/>
          <a:chExt cx="2628900" cy="906780"/>
        </a:xfrm>
      </xdr:grpSpPr>
      <xdr:sp macro="" textlink="">
        <xdr:nvSpPr>
          <xdr:cNvPr id="80" name="Rounded Rectangle 79"/>
          <xdr:cNvSpPr/>
        </xdr:nvSpPr>
        <xdr:spPr>
          <a:xfrm>
            <a:off x="60960" y="830580"/>
            <a:ext cx="2628900" cy="906780"/>
          </a:xfrm>
          <a:prstGeom prst="roundRect">
            <a:avLst/>
          </a:prstGeom>
          <a:solidFill>
            <a:schemeClr val="bg1"/>
          </a:solidFill>
          <a:ln>
            <a:solidFill>
              <a:schemeClr val="bg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endParaRPr lang="en-IN" sz="2000" b="1"/>
          </a:p>
        </xdr:txBody>
      </xdr:sp>
      <xdr:sp macro="" textlink="">
        <xdr:nvSpPr>
          <xdr:cNvPr id="81" name="Rounded Rectangle 80"/>
          <xdr:cNvSpPr/>
        </xdr:nvSpPr>
        <xdr:spPr>
          <a:xfrm>
            <a:off x="129540" y="906780"/>
            <a:ext cx="735289" cy="762000"/>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TextBox 81"/>
          <xdr:cNvSpPr txBox="1"/>
        </xdr:nvSpPr>
        <xdr:spPr>
          <a:xfrm>
            <a:off x="1061729" y="960120"/>
            <a:ext cx="1513831" cy="3581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solidFill>
              </a:rPr>
              <a:t>AVERAGE</a:t>
            </a:r>
            <a:r>
              <a:rPr lang="en-IN" sz="1400" b="1" baseline="0">
                <a:solidFill>
                  <a:schemeClr val="accent1"/>
                </a:solidFill>
              </a:rPr>
              <a:t> SALES</a:t>
            </a:r>
            <a:endParaRPr lang="en-IN" sz="1400" b="1">
              <a:solidFill>
                <a:schemeClr val="accent1"/>
              </a:solidFill>
            </a:endParaRPr>
          </a:p>
        </xdr:txBody>
      </xdr:sp>
      <xdr:sp macro="" textlink="Sheet1!K8">
        <xdr:nvSpPr>
          <xdr:cNvPr id="83" name="TextBox 82"/>
          <xdr:cNvSpPr txBox="1"/>
        </xdr:nvSpPr>
        <xdr:spPr>
          <a:xfrm>
            <a:off x="1203960" y="1249680"/>
            <a:ext cx="12268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43F702E-A22F-44A0-8685-81C1AF721097}" type="TxLink">
              <a:rPr lang="en-US" sz="1200" b="1" i="0" u="none" strike="noStrike">
                <a:solidFill>
                  <a:schemeClr val="accent1">
                    <a:lumMod val="50000"/>
                  </a:schemeClr>
                </a:solidFill>
                <a:latin typeface="Calibri"/>
                <a:ea typeface="Calibri"/>
                <a:cs typeface="Calibri"/>
              </a:rPr>
              <a:t> 3,35,120.00 </a:t>
            </a:fld>
            <a:endParaRPr lang="en-IN" sz="1600" b="1">
              <a:solidFill>
                <a:schemeClr val="accent1">
                  <a:lumMod val="50000"/>
                </a:schemeClr>
              </a:solidFill>
            </a:endParaRPr>
          </a:p>
        </xdr:txBody>
      </xdr:sp>
    </xdr:grpSp>
    <xdr:clientData/>
  </xdr:twoCellAnchor>
  <xdr:twoCellAnchor editAs="oneCell">
    <xdr:from>
      <xdr:col>0</xdr:col>
      <xdr:colOff>231494</xdr:colOff>
      <xdr:row>5</xdr:row>
      <xdr:rowOff>115747</xdr:rowOff>
    </xdr:from>
    <xdr:to>
      <xdr:col>1</xdr:col>
      <xdr:colOff>86810</xdr:colOff>
      <xdr:row>8</xdr:row>
      <xdr:rowOff>28936</xdr:rowOff>
    </xdr:to>
    <xdr:pic>
      <xdr:nvPicPr>
        <xdr:cNvPr id="84" name="Picture 8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1494" y="1032076"/>
          <a:ext cx="462987" cy="462987"/>
        </a:xfrm>
        <a:prstGeom prst="rect">
          <a:avLst/>
        </a:prstGeom>
      </xdr:spPr>
    </xdr:pic>
    <xdr:clientData/>
  </xdr:twoCellAnchor>
  <xdr:twoCellAnchor editAs="oneCell">
    <xdr:from>
      <xdr:col>4</xdr:col>
      <xdr:colOff>491923</xdr:colOff>
      <xdr:row>5</xdr:row>
      <xdr:rowOff>163974</xdr:rowOff>
    </xdr:from>
    <xdr:to>
      <xdr:col>5</xdr:col>
      <xdr:colOff>366532</xdr:colOff>
      <xdr:row>8</xdr:row>
      <xdr:rowOff>139628</xdr:rowOff>
    </xdr:to>
    <xdr:pic>
      <xdr:nvPicPr>
        <xdr:cNvPr id="85" name="Picture 84"/>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22607" y="1080303"/>
          <a:ext cx="482279" cy="525452"/>
        </a:xfrm>
        <a:prstGeom prst="rect">
          <a:avLst/>
        </a:prstGeom>
      </xdr:spPr>
    </xdr:pic>
    <xdr:clientData/>
  </xdr:twoCellAnchor>
  <xdr:twoCellAnchor editAs="oneCell">
    <xdr:from>
      <xdr:col>9</xdr:col>
      <xdr:colOff>48229</xdr:colOff>
      <xdr:row>5</xdr:row>
      <xdr:rowOff>154330</xdr:rowOff>
    </xdr:from>
    <xdr:to>
      <xdr:col>10</xdr:col>
      <xdr:colOff>1</xdr:colOff>
      <xdr:row>8</xdr:row>
      <xdr:rowOff>163975</xdr:rowOff>
    </xdr:to>
    <xdr:pic>
      <xdr:nvPicPr>
        <xdr:cNvPr id="86" name="Picture 8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17267" y="1070659"/>
          <a:ext cx="559443" cy="559443"/>
        </a:xfrm>
        <a:prstGeom prst="rect">
          <a:avLst/>
        </a:prstGeom>
      </xdr:spPr>
    </xdr:pic>
    <xdr:clientData/>
  </xdr:twoCellAnchor>
  <xdr:twoCellAnchor editAs="oneCell">
    <xdr:from>
      <xdr:col>13</xdr:col>
      <xdr:colOff>289366</xdr:colOff>
      <xdr:row>5</xdr:row>
      <xdr:rowOff>115745</xdr:rowOff>
    </xdr:from>
    <xdr:to>
      <xdr:col>14</xdr:col>
      <xdr:colOff>308657</xdr:colOff>
      <xdr:row>9</xdr:row>
      <xdr:rowOff>9643</xdr:rowOff>
    </xdr:to>
    <xdr:pic>
      <xdr:nvPicPr>
        <xdr:cNvPr id="87" name="Picture 86"/>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189088" y="1032074"/>
          <a:ext cx="626961" cy="626961"/>
        </a:xfrm>
        <a:prstGeom prst="rect">
          <a:avLst/>
        </a:prstGeom>
      </xdr:spPr>
    </xdr:pic>
    <xdr:clientData/>
  </xdr:twoCellAnchor>
  <xdr:twoCellAnchor>
    <xdr:from>
      <xdr:col>8</xdr:col>
      <xdr:colOff>289369</xdr:colOff>
      <xdr:row>0</xdr:row>
      <xdr:rowOff>154328</xdr:rowOff>
    </xdr:from>
    <xdr:to>
      <xdr:col>13</xdr:col>
      <xdr:colOff>308658</xdr:colOff>
      <xdr:row>3</xdr:row>
      <xdr:rowOff>19291</xdr:rowOff>
    </xdr:to>
    <xdr:sp macro="" textlink="">
      <xdr:nvSpPr>
        <xdr:cNvPr id="88" name="TextBox 87"/>
        <xdr:cNvSpPr txBox="1"/>
      </xdr:nvSpPr>
      <xdr:spPr>
        <a:xfrm>
          <a:off x="5150736" y="154328"/>
          <a:ext cx="3057644" cy="41476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solidFill>
                <a:schemeClr val="accent1">
                  <a:lumMod val="50000"/>
                </a:schemeClr>
              </a:solidFill>
            </a:rPr>
            <a:t>SALES DASHBOARD</a:t>
          </a:r>
        </a:p>
      </xdr:txBody>
    </xdr:sp>
    <xdr:clientData/>
  </xdr:twoCellAnchor>
  <xdr:twoCellAnchor editAs="oneCell">
    <xdr:from>
      <xdr:col>0</xdr:col>
      <xdr:colOff>67518</xdr:colOff>
      <xdr:row>9</xdr:row>
      <xdr:rowOff>173622</xdr:rowOff>
    </xdr:from>
    <xdr:to>
      <xdr:col>3</xdr:col>
      <xdr:colOff>144683</xdr:colOff>
      <xdr:row>26</xdr:row>
      <xdr:rowOff>38583</xdr:rowOff>
    </xdr:to>
    <mc:AlternateContent xmlns:mc="http://schemas.openxmlformats.org/markup-compatibility/2006">
      <mc:Choice xmlns:a14="http://schemas.microsoft.com/office/drawing/2010/main" Requires="a14">
        <xdr:graphicFrame macro="">
          <xdr:nvGraphicFramePr>
            <xdr:cNvPr id="90" name="Sales Person"/>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67518" y="1823014"/>
              <a:ext cx="1900178" cy="2980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48227</xdr:colOff>
      <xdr:row>26</xdr:row>
      <xdr:rowOff>57873</xdr:rowOff>
    </xdr:from>
    <xdr:to>
      <xdr:col>3</xdr:col>
      <xdr:colOff>135037</xdr:colOff>
      <xdr:row>40</xdr:row>
      <xdr:rowOff>144683</xdr:rowOff>
    </xdr:to>
    <mc:AlternateContent xmlns:mc="http://schemas.openxmlformats.org/markup-compatibility/2006">
      <mc:Choice xmlns:a14="http://schemas.microsoft.com/office/drawing/2010/main" Requires="a14">
        <xdr:graphicFrame macro="">
          <xdr:nvGraphicFramePr>
            <xdr:cNvPr id="91"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48227" y="4822784"/>
              <a:ext cx="1909823" cy="26525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424405</xdr:colOff>
      <xdr:row>4</xdr:row>
      <xdr:rowOff>144684</xdr:rowOff>
    </xdr:from>
    <xdr:to>
      <xdr:col>21</xdr:col>
      <xdr:colOff>462987</xdr:colOff>
      <xdr:row>9</xdr:row>
      <xdr:rowOff>67520</xdr:rowOff>
    </xdr:to>
    <mc:AlternateContent xmlns:mc="http://schemas.openxmlformats.org/markup-compatibility/2006">
      <mc:Choice xmlns:a14="http://schemas.microsoft.com/office/drawing/2010/main" Requires="a14">
        <xdr:graphicFrame macro="">
          <xdr:nvGraphicFramePr>
            <xdr:cNvPr id="9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754810" y="877747"/>
              <a:ext cx="2469266" cy="8391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180757</xdr:colOff>
      <xdr:row>9</xdr:row>
      <xdr:rowOff>163974</xdr:rowOff>
    </xdr:from>
    <xdr:to>
      <xdr:col>12</xdr:col>
      <xdr:colOff>9645</xdr:colOff>
      <xdr:row>26</xdr:row>
      <xdr:rowOff>0</xdr:rowOff>
    </xdr:to>
    <xdr:sp macro="" textlink="">
      <xdr:nvSpPr>
        <xdr:cNvPr id="98" name="Rounded Rectangle 97"/>
        <xdr:cNvSpPr/>
      </xdr:nvSpPr>
      <xdr:spPr>
        <a:xfrm>
          <a:off x="2003770" y="1813366"/>
          <a:ext cx="5297926" cy="295154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SAUN</a:t>
          </a:r>
        </a:p>
      </xdr:txBody>
    </xdr:sp>
    <xdr:clientData/>
  </xdr:twoCellAnchor>
  <xdr:twoCellAnchor>
    <xdr:from>
      <xdr:col>3</xdr:col>
      <xdr:colOff>405114</xdr:colOff>
      <xdr:row>10</xdr:row>
      <xdr:rowOff>173621</xdr:rowOff>
    </xdr:from>
    <xdr:to>
      <xdr:col>10</xdr:col>
      <xdr:colOff>347241</xdr:colOff>
      <xdr:row>12</xdr:row>
      <xdr:rowOff>48228</xdr:rowOff>
    </xdr:to>
    <xdr:sp macro="" textlink="">
      <xdr:nvSpPr>
        <xdr:cNvPr id="100" name="TextBox 99"/>
        <xdr:cNvSpPr txBox="1"/>
      </xdr:nvSpPr>
      <xdr:spPr>
        <a:xfrm>
          <a:off x="2228127" y="2006279"/>
          <a:ext cx="4195823" cy="24113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50000"/>
                </a:schemeClr>
              </a:solidFill>
            </a:rPr>
            <a:t>UNIT SOLD BY PRODUCT</a:t>
          </a:r>
        </a:p>
      </xdr:txBody>
    </xdr:sp>
    <xdr:clientData/>
  </xdr:twoCellAnchor>
  <xdr:twoCellAnchor>
    <xdr:from>
      <xdr:col>3</xdr:col>
      <xdr:colOff>482279</xdr:colOff>
      <xdr:row>12</xdr:row>
      <xdr:rowOff>96455</xdr:rowOff>
    </xdr:from>
    <xdr:to>
      <xdr:col>11</xdr:col>
      <xdr:colOff>289367</xdr:colOff>
      <xdr:row>25</xdr:row>
      <xdr:rowOff>173620</xdr:rowOff>
    </xdr:to>
    <xdr:graphicFrame macro="">
      <xdr:nvGraphicFramePr>
        <xdr:cNvPr id="103" name="Chart 10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171112</xdr:colOff>
      <xdr:row>26</xdr:row>
      <xdr:rowOff>28936</xdr:rowOff>
    </xdr:from>
    <xdr:to>
      <xdr:col>12</xdr:col>
      <xdr:colOff>77164</xdr:colOff>
      <xdr:row>42</xdr:row>
      <xdr:rowOff>115746</xdr:rowOff>
    </xdr:to>
    <xdr:sp macro="" textlink="">
      <xdr:nvSpPr>
        <xdr:cNvPr id="104" name="Rounded Rectangle 103"/>
        <xdr:cNvSpPr/>
      </xdr:nvSpPr>
      <xdr:spPr>
        <a:xfrm>
          <a:off x="1994125" y="4793847"/>
          <a:ext cx="5375090" cy="301906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SAUN</a:t>
          </a:r>
        </a:p>
      </xdr:txBody>
    </xdr:sp>
    <xdr:clientData/>
  </xdr:twoCellAnchor>
  <xdr:twoCellAnchor>
    <xdr:from>
      <xdr:col>12</xdr:col>
      <xdr:colOff>45720</xdr:colOff>
      <xdr:row>9</xdr:row>
      <xdr:rowOff>173621</xdr:rowOff>
    </xdr:from>
    <xdr:to>
      <xdr:col>21</xdr:col>
      <xdr:colOff>501569</xdr:colOff>
      <xdr:row>26</xdr:row>
      <xdr:rowOff>19292</xdr:rowOff>
    </xdr:to>
    <xdr:sp macro="" textlink="">
      <xdr:nvSpPr>
        <xdr:cNvPr id="105" name="Rounded Rectangle 104"/>
        <xdr:cNvSpPr/>
      </xdr:nvSpPr>
      <xdr:spPr>
        <a:xfrm>
          <a:off x="7337771" y="1823013"/>
          <a:ext cx="5924887" cy="296119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100"/>
        </a:p>
      </xdr:txBody>
    </xdr:sp>
    <xdr:clientData/>
  </xdr:twoCellAnchor>
  <xdr:twoCellAnchor>
    <xdr:from>
      <xdr:col>12</xdr:col>
      <xdr:colOff>103593</xdr:colOff>
      <xdr:row>26</xdr:row>
      <xdr:rowOff>67518</xdr:rowOff>
    </xdr:from>
    <xdr:to>
      <xdr:col>21</xdr:col>
      <xdr:colOff>434050</xdr:colOff>
      <xdr:row>42</xdr:row>
      <xdr:rowOff>125391</xdr:rowOff>
    </xdr:to>
    <xdr:sp macro="" textlink="">
      <xdr:nvSpPr>
        <xdr:cNvPr id="106" name="Rounded Rectangle 105"/>
        <xdr:cNvSpPr/>
      </xdr:nvSpPr>
      <xdr:spPr>
        <a:xfrm>
          <a:off x="7395644" y="4832429"/>
          <a:ext cx="5799495" cy="2990127"/>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SAUN</a:t>
          </a:r>
        </a:p>
      </xdr:txBody>
    </xdr:sp>
    <xdr:clientData/>
  </xdr:twoCellAnchor>
  <xdr:twoCellAnchor>
    <xdr:from>
      <xdr:col>13</xdr:col>
      <xdr:colOff>202556</xdr:colOff>
      <xdr:row>12</xdr:row>
      <xdr:rowOff>77164</xdr:rowOff>
    </xdr:from>
    <xdr:to>
      <xdr:col>21</xdr:col>
      <xdr:colOff>183265</xdr:colOff>
      <xdr:row>24</xdr:row>
      <xdr:rowOff>100311</xdr:rowOff>
    </xdr:to>
    <xdr:graphicFrame macro="">
      <xdr:nvGraphicFramePr>
        <xdr:cNvPr id="107" name="Chart 10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9644</xdr:colOff>
      <xdr:row>28</xdr:row>
      <xdr:rowOff>38582</xdr:rowOff>
    </xdr:from>
    <xdr:to>
      <xdr:col>11</xdr:col>
      <xdr:colOff>327948</xdr:colOff>
      <xdr:row>41</xdr:row>
      <xdr:rowOff>145821</xdr:rowOff>
    </xdr:to>
    <xdr:graphicFrame macro="">
      <xdr:nvGraphicFramePr>
        <xdr:cNvPr id="110" name="Chart 10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530506</xdr:colOff>
      <xdr:row>26</xdr:row>
      <xdr:rowOff>163975</xdr:rowOff>
    </xdr:from>
    <xdr:to>
      <xdr:col>9</xdr:col>
      <xdr:colOff>28937</xdr:colOff>
      <xdr:row>28</xdr:row>
      <xdr:rowOff>67519</xdr:rowOff>
    </xdr:to>
    <xdr:sp macro="" textlink="">
      <xdr:nvSpPr>
        <xdr:cNvPr id="111" name="TextBox 110"/>
        <xdr:cNvSpPr txBox="1"/>
      </xdr:nvSpPr>
      <xdr:spPr>
        <a:xfrm>
          <a:off x="2353519" y="4928886"/>
          <a:ext cx="3144456" cy="2700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1">
                  <a:lumMod val="50000"/>
                </a:schemeClr>
              </a:solidFill>
            </a:rPr>
            <a:t>TOTAL SALES BY PRODUCT</a:t>
          </a:r>
        </a:p>
      </xdr:txBody>
    </xdr:sp>
    <xdr:clientData/>
  </xdr:twoCellAnchor>
  <xdr:oneCellAnchor>
    <xdr:from>
      <xdr:col>14</xdr:col>
      <xdr:colOff>395469</xdr:colOff>
      <xdr:row>14</xdr:row>
      <xdr:rowOff>77164</xdr:rowOff>
    </xdr:from>
    <xdr:ext cx="184731" cy="264560"/>
    <xdr:sp macro="" textlink="">
      <xdr:nvSpPr>
        <xdr:cNvPr id="112" name="TextBox 111"/>
        <xdr:cNvSpPr txBox="1"/>
      </xdr:nvSpPr>
      <xdr:spPr>
        <a:xfrm>
          <a:off x="8902861" y="26428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16</xdr:col>
      <xdr:colOff>135038</xdr:colOff>
      <xdr:row>18</xdr:row>
      <xdr:rowOff>163973</xdr:rowOff>
    </xdr:from>
    <xdr:ext cx="184731" cy="206687"/>
    <xdr:sp macro="" textlink="">
      <xdr:nvSpPr>
        <xdr:cNvPr id="113" name="TextBox 112"/>
        <xdr:cNvSpPr txBox="1"/>
      </xdr:nvSpPr>
      <xdr:spPr>
        <a:xfrm>
          <a:off x="9857772" y="3462758"/>
          <a:ext cx="184731" cy="2066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endParaRPr lang="en-IN" sz="1100"/>
        </a:p>
      </xdr:txBody>
    </xdr:sp>
    <xdr:clientData/>
  </xdr:oneCellAnchor>
  <xdr:oneCellAnchor>
    <xdr:from>
      <xdr:col>17</xdr:col>
      <xdr:colOff>260430</xdr:colOff>
      <xdr:row>12</xdr:row>
      <xdr:rowOff>48228</xdr:rowOff>
    </xdr:from>
    <xdr:ext cx="184731" cy="264560"/>
    <xdr:sp macro="" textlink="">
      <xdr:nvSpPr>
        <xdr:cNvPr id="114" name="TextBox 113"/>
        <xdr:cNvSpPr txBox="1"/>
      </xdr:nvSpPr>
      <xdr:spPr>
        <a:xfrm>
          <a:off x="10590835" y="224741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12</xdr:col>
      <xdr:colOff>392960</xdr:colOff>
      <xdr:row>10</xdr:row>
      <xdr:rowOff>115746</xdr:rowOff>
    </xdr:from>
    <xdr:to>
      <xdr:col>16</xdr:col>
      <xdr:colOff>126545</xdr:colOff>
      <xdr:row>12</xdr:row>
      <xdr:rowOff>133295</xdr:rowOff>
    </xdr:to>
    <xdr:pic>
      <xdr:nvPicPr>
        <xdr:cNvPr id="115" name="Picture 114"/>
        <xdr:cNvPicPr>
          <a:picLocks noChangeAspect="1"/>
        </xdr:cNvPicPr>
      </xdr:nvPicPr>
      <xdr:blipFill>
        <a:blip xmlns:r="http://schemas.openxmlformats.org/officeDocument/2006/relationships" r:embed="rId8"/>
        <a:stretch>
          <a:fillRect/>
        </a:stretch>
      </xdr:blipFill>
      <xdr:spPr>
        <a:xfrm>
          <a:off x="7685011" y="1948404"/>
          <a:ext cx="2164268" cy="384081"/>
        </a:xfrm>
        <a:prstGeom prst="rect">
          <a:avLst/>
        </a:prstGeom>
      </xdr:spPr>
    </xdr:pic>
    <xdr:clientData/>
  </xdr:twoCellAnchor>
  <xdr:twoCellAnchor editAs="oneCell">
    <xdr:from>
      <xdr:col>12</xdr:col>
      <xdr:colOff>450834</xdr:colOff>
      <xdr:row>26</xdr:row>
      <xdr:rowOff>106100</xdr:rowOff>
    </xdr:from>
    <xdr:to>
      <xdr:col>16</xdr:col>
      <xdr:colOff>184419</xdr:colOff>
      <xdr:row>28</xdr:row>
      <xdr:rowOff>123649</xdr:rowOff>
    </xdr:to>
    <xdr:pic>
      <xdr:nvPicPr>
        <xdr:cNvPr id="116" name="Picture 115"/>
        <xdr:cNvPicPr>
          <a:picLocks noChangeAspect="1"/>
        </xdr:cNvPicPr>
      </xdr:nvPicPr>
      <xdr:blipFill>
        <a:blip xmlns:r="http://schemas.openxmlformats.org/officeDocument/2006/relationships" r:embed="rId8"/>
        <a:stretch>
          <a:fillRect/>
        </a:stretch>
      </xdr:blipFill>
      <xdr:spPr>
        <a:xfrm>
          <a:off x="7742885" y="4871011"/>
          <a:ext cx="2164268" cy="384081"/>
        </a:xfrm>
        <a:prstGeom prst="rect">
          <a:avLst/>
        </a:prstGeom>
      </xdr:spPr>
    </xdr:pic>
    <xdr:clientData/>
  </xdr:twoCellAnchor>
  <xdr:twoCellAnchor>
    <xdr:from>
      <xdr:col>13</xdr:col>
      <xdr:colOff>180757</xdr:colOff>
      <xdr:row>28</xdr:row>
      <xdr:rowOff>9645</xdr:rowOff>
    </xdr:from>
    <xdr:to>
      <xdr:col>21</xdr:col>
      <xdr:colOff>144683</xdr:colOff>
      <xdr:row>41</xdr:row>
      <xdr:rowOff>163974</xdr:rowOff>
    </xdr:to>
    <xdr:graphicFrame macro="">
      <xdr:nvGraphicFramePr>
        <xdr:cNvPr id="117" name="Chart 1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hanalakshmi Madhesh" refreshedDate="46180.599695949073" createdVersion="6" refreshedVersion="6" minRefreshableVersion="3" recordCount="25">
  <cacheSource type="worksheet">
    <worksheetSource name="Table2"/>
  </cacheSource>
  <cacheFields count="9">
    <cacheField name="Date" numFmtId="14">
      <sharedItems containsSemiMixedTypes="0" containsNonDate="0" containsDate="1" containsString="0" minDate="2021-01-15T00:00:00" maxDate="2021-11-21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Sold" numFmtId="0">
      <sharedItems containsSemiMixedTypes="0" containsString="0" containsNumber="1" containsInteger="1" minValue="51" maxValue="146"/>
    </cacheField>
    <cacheField name="Unit Price" numFmtId="0">
      <sharedItems containsSemiMixedTypes="0" containsString="0" containsNumber="1" containsInteger="1" minValue="600" maxValue="10000"/>
    </cacheField>
    <cacheField name="Cost of Goods" numFmtId="0">
      <sharedItems containsSemiMixedTypes="0" containsString="0" containsNumber="1" containsInteger="1" minValue="400" maxValue="7000"/>
    </cacheField>
    <cacheField name="Total sales " numFmtId="0">
      <sharedItems containsSemiMixedTypes="0" containsString="0" containsNumber="1" containsInteger="1" minValue="49800" maxValue="1080000"/>
    </cacheField>
    <cacheField name="Profit" numFmtId="0">
      <sharedItems containsSemiMixedTypes="0" containsString="0" containsNumber="1" containsInteger="1" minValue="16600" maxValue="324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
  <r>
    <d v="2021-01-15T00:00:00"/>
    <x v="0"/>
    <x v="0"/>
    <x v="0"/>
    <n v="84"/>
    <n v="6000"/>
    <n v="4000"/>
    <n v="504000"/>
    <n v="168000"/>
  </r>
  <r>
    <d v="2021-01-22T00:00:00"/>
    <x v="1"/>
    <x v="1"/>
    <x v="1"/>
    <n v="128"/>
    <n v="3500"/>
    <n v="2500"/>
    <n v="448000"/>
    <n v="128000"/>
  </r>
  <r>
    <d v="2021-02-05T00:00:00"/>
    <x v="2"/>
    <x v="2"/>
    <x v="2"/>
    <n v="136"/>
    <n v="1200"/>
    <n v="800"/>
    <n v="163200"/>
    <n v="54400"/>
  </r>
  <r>
    <d v="2021-02-18T00:00:00"/>
    <x v="3"/>
    <x v="3"/>
    <x v="3"/>
    <n v="91"/>
    <n v="1000"/>
    <n v="700"/>
    <n v="91000"/>
    <n v="27300"/>
  </r>
  <r>
    <d v="2021-03-03T00:00:00"/>
    <x v="4"/>
    <x v="0"/>
    <x v="4"/>
    <n v="110"/>
    <n v="4000"/>
    <n v="3000"/>
    <n v="440000"/>
    <n v="110000"/>
  </r>
  <r>
    <d v="2021-03-14T00:00:00"/>
    <x v="5"/>
    <x v="1"/>
    <x v="2"/>
    <n v="51"/>
    <n v="1200"/>
    <n v="800"/>
    <n v="61200"/>
    <n v="20400"/>
  </r>
  <r>
    <d v="2021-03-28T00:00:00"/>
    <x v="6"/>
    <x v="3"/>
    <x v="3"/>
    <n v="78"/>
    <n v="1000"/>
    <n v="700"/>
    <n v="78000"/>
    <n v="23400"/>
  </r>
  <r>
    <d v="2021-04-10T00:00:00"/>
    <x v="7"/>
    <x v="2"/>
    <x v="0"/>
    <n v="146"/>
    <n v="6000"/>
    <n v="4000"/>
    <n v="876000"/>
    <n v="292000"/>
  </r>
  <r>
    <d v="2021-04-21T00:00:00"/>
    <x v="8"/>
    <x v="0"/>
    <x v="5"/>
    <n v="101"/>
    <n v="600"/>
    <n v="400"/>
    <n v="60600"/>
    <n v="20200"/>
  </r>
  <r>
    <d v="2021-05-07T00:00:00"/>
    <x v="9"/>
    <x v="2"/>
    <x v="0"/>
    <n v="52"/>
    <n v="6000"/>
    <n v="4000"/>
    <n v="312000"/>
    <n v="104000"/>
  </r>
  <r>
    <d v="2021-05-19T00:00:00"/>
    <x v="9"/>
    <x v="1"/>
    <x v="2"/>
    <n v="55"/>
    <n v="1200"/>
    <n v="800"/>
    <n v="66000"/>
    <n v="22000"/>
  </r>
  <r>
    <d v="2021-06-01T00:00:00"/>
    <x v="9"/>
    <x v="2"/>
    <x v="3"/>
    <n v="137"/>
    <n v="1000"/>
    <n v="700"/>
    <n v="137000"/>
    <n v="41100"/>
  </r>
  <r>
    <d v="2021-06-16T00:00:00"/>
    <x v="7"/>
    <x v="2"/>
    <x v="1"/>
    <n v="96"/>
    <n v="3500"/>
    <n v="2500"/>
    <n v="336000"/>
    <n v="96000"/>
  </r>
  <r>
    <d v="2021-06-30T00:00:00"/>
    <x v="8"/>
    <x v="1"/>
    <x v="4"/>
    <n v="52"/>
    <n v="4000"/>
    <n v="3000"/>
    <n v="208000"/>
    <n v="52000"/>
  </r>
  <r>
    <d v="2021-07-12T00:00:00"/>
    <x v="3"/>
    <x v="0"/>
    <x v="1"/>
    <n v="76"/>
    <n v="3500"/>
    <n v="2500"/>
    <n v="266000"/>
    <n v="76000"/>
  </r>
  <r>
    <d v="2021-07-25T00:00:00"/>
    <x v="1"/>
    <x v="3"/>
    <x v="4"/>
    <n v="145"/>
    <n v="4000"/>
    <n v="3000"/>
    <n v="580000"/>
    <n v="145000"/>
  </r>
  <r>
    <d v="2021-08-08T00:00:00"/>
    <x v="0"/>
    <x v="2"/>
    <x v="5"/>
    <n v="83"/>
    <n v="600"/>
    <n v="400"/>
    <n v="49800"/>
    <n v="16600"/>
  </r>
  <r>
    <d v="2021-08-20T00:00:00"/>
    <x v="4"/>
    <x v="2"/>
    <x v="3"/>
    <n v="91"/>
    <n v="1000"/>
    <n v="700"/>
    <n v="91000"/>
    <n v="27300"/>
  </r>
  <r>
    <d v="2021-09-05T00:00:00"/>
    <x v="5"/>
    <x v="0"/>
    <x v="6"/>
    <n v="108"/>
    <n v="10000"/>
    <n v="7000"/>
    <n v="1080000"/>
    <n v="324000"/>
  </r>
  <r>
    <d v="2021-09-17T00:00:00"/>
    <x v="2"/>
    <x v="3"/>
    <x v="4"/>
    <n v="144"/>
    <n v="4000"/>
    <n v="3000"/>
    <n v="576000"/>
    <n v="144000"/>
  </r>
  <r>
    <d v="2021-09-29T00:00:00"/>
    <x v="4"/>
    <x v="2"/>
    <x v="5"/>
    <n v="92"/>
    <n v="600"/>
    <n v="400"/>
    <n v="55200"/>
    <n v="18400"/>
  </r>
  <r>
    <d v="2021-10-11T00:00:00"/>
    <x v="7"/>
    <x v="0"/>
    <x v="0"/>
    <n v="71"/>
    <n v="6000"/>
    <n v="4000"/>
    <n v="426000"/>
    <n v="142000"/>
  </r>
  <r>
    <d v="2021-10-24T00:00:00"/>
    <x v="1"/>
    <x v="1"/>
    <x v="6"/>
    <n v="65"/>
    <n v="10000"/>
    <n v="7000"/>
    <n v="650000"/>
    <n v="195000"/>
  </r>
  <r>
    <d v="2021-11-08T00:00:00"/>
    <x v="0"/>
    <x v="3"/>
    <x v="1"/>
    <n v="98"/>
    <n v="3500"/>
    <n v="2500"/>
    <n v="343000"/>
    <n v="98000"/>
  </r>
  <r>
    <d v="2021-11-20T00:00:00"/>
    <x v="8"/>
    <x v="2"/>
    <x v="4"/>
    <n v="120"/>
    <n v="4000"/>
    <n v="3000"/>
    <n v="480000"/>
    <n v="1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4"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M4:N12"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UnitsSold" fld="4" baseField="0" baseItem="0"/>
  </dataFields>
  <chartFormats count="2">
    <chartFormat chart="5"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3"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I4:J15"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Total sales " fld="7" baseField="1" baseItem="0" numFmtId="170"/>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0"/>
          </reference>
        </references>
      </pivotArea>
    </chartFormat>
    <chartFormat chart="3" format="3"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E4:F12"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showAll="0"/>
    <pivotField showAll="0"/>
    <pivotField dataField="1" showAll="0"/>
    <pivotField showAll="0"/>
  </pivotFields>
  <rowFields count="1">
    <field x="3"/>
  </rowFields>
  <rowItems count="8">
    <i>
      <x/>
    </i>
    <i>
      <x v="1"/>
    </i>
    <i>
      <x v="2"/>
    </i>
    <i>
      <x v="3"/>
    </i>
    <i>
      <x v="4"/>
    </i>
    <i>
      <x v="5"/>
    </i>
    <i>
      <x v="6"/>
    </i>
    <i t="grand">
      <x/>
    </i>
  </rowItems>
  <colItems count="1">
    <i/>
  </colItems>
  <dataFields count="1">
    <dataField name="Sum of Total sales " fld="7" baseField="3" baseItem="0" numFmtId="171"/>
  </dataFields>
  <chartFormats count="6">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4"/>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3" count="1" selected="0">
            <x v="4"/>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 fld="7" baseField="2" baseItem="0" numFmtId="170"/>
  </dataFields>
  <chartFormats count="10">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 chart="8" format="4">
      <pivotArea type="data" outline="0" fieldPosition="0">
        <references count="2">
          <reference field="4294967294" count="1" selected="0">
            <x v="0"/>
          </reference>
          <reference field="2"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2" count="1" selected="0">
            <x v="0"/>
          </reference>
        </references>
      </pivotArea>
    </chartFormat>
    <chartFormat chart="10" format="12">
      <pivotArea type="data" outline="0" fieldPosition="0">
        <references count="2">
          <reference field="4294967294" count="1" selected="0">
            <x v="0"/>
          </reference>
          <reference field="2" count="1" selected="0">
            <x v="1"/>
          </reference>
        </references>
      </pivotArea>
    </chartFormat>
    <chartFormat chart="10" format="13">
      <pivotArea type="data" outline="0" fieldPosition="0">
        <references count="2">
          <reference field="4294967294" count="1" selected="0">
            <x v="0"/>
          </reference>
          <reference field="2" count="1" selected="0">
            <x v="2"/>
          </reference>
        </references>
      </pivotArea>
    </chartFormat>
    <chartFormat chart="10"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5" name="PivotTable11"/>
    <pivotTable tabId="5" name="PivotTable12"/>
    <pivotTable tabId="5" name="PivotTable13"/>
    <pivotTable tabId="5" name="PivotTable14"/>
  </pivotTables>
  <data>
    <tabular pivotCacheId="1">
      <items count="7">
        <i x="2" s="1"/>
        <i x="1" s="1"/>
        <i x="5" s="1"/>
        <i x="3" s="1"/>
        <i x="6"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Person" sourceName="Sales Person">
  <pivotTables>
    <pivotTable tabId="5" name="PivotTable11"/>
    <pivotTable tabId="5" name="PivotTable12"/>
    <pivotTable tabId="5" name="PivotTable13"/>
    <pivotTable tabId="5" name="PivotTable14"/>
  </pivotTables>
  <data>
    <tabular pivotCacheId="1">
      <items count="10">
        <i x="0" s="1"/>
        <i x="8" s="1"/>
        <i x="3" s="1"/>
        <i x="5" s="1"/>
        <i x="7" s="1"/>
        <i x="2" s="1"/>
        <i x="1" s="1"/>
        <i x="4" s="1"/>
        <i x="9"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1"/>
    <pivotTable tabId="5" name="PivotTable12"/>
    <pivotTable tabId="5" name="PivotTable13"/>
    <pivotTable tabId="5" name="PivotTable14"/>
  </pivotTables>
  <data>
    <tabular pivotCacheId="1">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 name="Sales Person" cache="Slicer_Sales_Person" caption="Sales Person" rowHeight="234950"/>
  <slicer name="Region" cache="Slicer_Region" caption="Region" columnCount="2" rowHeight="234950"/>
</slicers>
</file>

<file path=xl/tables/table1.xml><?xml version="1.0" encoding="utf-8"?>
<table xmlns="http://schemas.openxmlformats.org/spreadsheetml/2006/main" id="2" name="Table2" displayName="Table2" ref="A1:I26" totalsRowShown="0" headerRowDxfId="0" dataDxfId="1">
  <autoFilter ref="A1:I26"/>
  <tableColumns count="9">
    <tableColumn id="1" name="Date" dataDxfId="9"/>
    <tableColumn id="2" name="Sales Person" dataDxfId="8"/>
    <tableColumn id="3" name="Region" dataDxfId="7"/>
    <tableColumn id="4" name="Product" dataDxfId="6"/>
    <tableColumn id="5" name="UnitsSold" dataDxfId="5"/>
    <tableColumn id="6" name="Unit Price" dataDxfId="4"/>
    <tableColumn id="7" name="Cost of Goods" dataDxfId="3"/>
    <tableColumn id="8" name="Total sales " dataDxfId="2"/>
    <tableColumn id="9" name="Profit">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N15"/>
  <sheetViews>
    <sheetView topLeftCell="C3" workbookViewId="0">
      <selection activeCell="F56" sqref="F56"/>
    </sheetView>
  </sheetViews>
  <sheetFormatPr defaultRowHeight="14.4" x14ac:dyDescent="0.3"/>
  <cols>
    <col min="1" max="1" width="12.5546875" bestFit="1" customWidth="1"/>
    <col min="2" max="2" width="16.6640625" bestFit="1" customWidth="1"/>
    <col min="5" max="5" width="12.5546875" customWidth="1"/>
    <col min="6" max="6" width="16.6640625" bestFit="1" customWidth="1"/>
    <col min="9" max="9" width="12.5546875" bestFit="1" customWidth="1"/>
    <col min="10" max="10" width="16.6640625" bestFit="1" customWidth="1"/>
    <col min="13" max="13" width="12.5546875" customWidth="1"/>
    <col min="14" max="14" width="15.5546875" customWidth="1"/>
    <col min="15" max="15" width="15.5546875" bestFit="1" customWidth="1"/>
  </cols>
  <sheetData>
    <row r="3" spans="1:14" x14ac:dyDescent="0.3">
      <c r="A3" s="7" t="s">
        <v>34</v>
      </c>
      <c r="B3" t="s">
        <v>36</v>
      </c>
    </row>
    <row r="4" spans="1:14" x14ac:dyDescent="0.3">
      <c r="A4" s="8" t="s">
        <v>10</v>
      </c>
      <c r="B4" s="10">
        <v>1433200</v>
      </c>
      <c r="E4" s="7" t="s">
        <v>34</v>
      </c>
      <c r="F4" t="s">
        <v>36</v>
      </c>
      <c r="I4" s="7" t="s">
        <v>34</v>
      </c>
      <c r="J4" t="s">
        <v>36</v>
      </c>
      <c r="M4" s="7" t="s">
        <v>34</v>
      </c>
      <c r="N4" t="s">
        <v>37</v>
      </c>
    </row>
    <row r="5" spans="1:14" x14ac:dyDescent="0.3">
      <c r="A5" s="8" t="s">
        <v>16</v>
      </c>
      <c r="B5" s="10">
        <v>1668000</v>
      </c>
      <c r="E5" s="8" t="s">
        <v>14</v>
      </c>
      <c r="F5" s="11">
        <v>290400</v>
      </c>
      <c r="I5" s="8" t="s">
        <v>6</v>
      </c>
      <c r="J5" s="10">
        <v>896800</v>
      </c>
      <c r="M5" s="8" t="s">
        <v>14</v>
      </c>
      <c r="N5" s="9">
        <v>242</v>
      </c>
    </row>
    <row r="6" spans="1:14" x14ac:dyDescent="0.3">
      <c r="A6" s="8" t="s">
        <v>13</v>
      </c>
      <c r="B6" s="10">
        <v>2500200</v>
      </c>
      <c r="E6" s="8" t="s">
        <v>11</v>
      </c>
      <c r="F6" s="11">
        <v>1393000</v>
      </c>
      <c r="I6" s="8" t="s">
        <v>23</v>
      </c>
      <c r="J6" s="10">
        <v>748600</v>
      </c>
      <c r="M6" s="8" t="s">
        <v>11</v>
      </c>
      <c r="N6" s="9">
        <v>398</v>
      </c>
    </row>
    <row r="7" spans="1:14" x14ac:dyDescent="0.3">
      <c r="A7" s="8" t="s">
        <v>7</v>
      </c>
      <c r="B7" s="10">
        <v>2776600</v>
      </c>
      <c r="E7" s="8" t="s">
        <v>24</v>
      </c>
      <c r="F7" s="11">
        <v>165600</v>
      </c>
      <c r="I7" s="8" t="s">
        <v>15</v>
      </c>
      <c r="J7" s="10">
        <v>357000</v>
      </c>
      <c r="M7" s="8" t="s">
        <v>24</v>
      </c>
      <c r="N7" s="9">
        <v>276</v>
      </c>
    </row>
    <row r="8" spans="1:14" x14ac:dyDescent="0.3">
      <c r="A8" s="8" t="s">
        <v>35</v>
      </c>
      <c r="B8" s="10">
        <v>8378000</v>
      </c>
      <c r="E8" s="8" t="s">
        <v>17</v>
      </c>
      <c r="F8" s="11">
        <v>397000</v>
      </c>
      <c r="I8" s="8" t="s">
        <v>20</v>
      </c>
      <c r="J8" s="10">
        <v>1141200</v>
      </c>
      <c r="M8" s="8" t="s">
        <v>17</v>
      </c>
      <c r="N8" s="9">
        <v>397</v>
      </c>
    </row>
    <row r="9" spans="1:14" x14ac:dyDescent="0.3">
      <c r="E9" s="8" t="s">
        <v>26</v>
      </c>
      <c r="F9" s="11">
        <v>1730000</v>
      </c>
      <c r="I9" s="8" t="s">
        <v>22</v>
      </c>
      <c r="J9" s="10">
        <v>1638000</v>
      </c>
      <c r="M9" s="8" t="s">
        <v>26</v>
      </c>
      <c r="N9" s="9">
        <v>173</v>
      </c>
    </row>
    <row r="10" spans="1:14" x14ac:dyDescent="0.3">
      <c r="E10" s="8" t="s">
        <v>19</v>
      </c>
      <c r="F10" s="11">
        <v>2284000</v>
      </c>
      <c r="I10" s="8" t="s">
        <v>12</v>
      </c>
      <c r="J10" s="10">
        <v>739200</v>
      </c>
      <c r="M10" s="8" t="s">
        <v>19</v>
      </c>
      <c r="N10" s="9">
        <v>571</v>
      </c>
    </row>
    <row r="11" spans="1:14" x14ac:dyDescent="0.3">
      <c r="E11" s="8" t="s">
        <v>8</v>
      </c>
      <c r="F11" s="11">
        <v>2118000</v>
      </c>
      <c r="I11" s="8" t="s">
        <v>9</v>
      </c>
      <c r="J11" s="10">
        <v>1678000</v>
      </c>
      <c r="M11" s="8" t="s">
        <v>8</v>
      </c>
      <c r="N11" s="9">
        <v>353</v>
      </c>
    </row>
    <row r="12" spans="1:14" x14ac:dyDescent="0.3">
      <c r="E12" s="8" t="s">
        <v>35</v>
      </c>
      <c r="F12" s="11">
        <v>8378000</v>
      </c>
      <c r="I12" s="8" t="s">
        <v>18</v>
      </c>
      <c r="J12" s="10">
        <v>586200</v>
      </c>
      <c r="M12" s="8" t="s">
        <v>35</v>
      </c>
      <c r="N12" s="9">
        <v>2410</v>
      </c>
    </row>
    <row r="13" spans="1:14" x14ac:dyDescent="0.3">
      <c r="I13" s="8" t="s">
        <v>25</v>
      </c>
      <c r="J13" s="10">
        <v>515000</v>
      </c>
    </row>
    <row r="14" spans="1:14" x14ac:dyDescent="0.3">
      <c r="I14" s="8" t="s">
        <v>21</v>
      </c>
      <c r="J14" s="10">
        <v>78000</v>
      </c>
    </row>
    <row r="15" spans="1:14" x14ac:dyDescent="0.3">
      <c r="I15" s="8" t="s">
        <v>35</v>
      </c>
      <c r="J15" s="10">
        <v>8378000</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6"/>
  <sheetViews>
    <sheetView workbookViewId="0">
      <selection activeCell="K6" sqref="K6"/>
    </sheetView>
  </sheetViews>
  <sheetFormatPr defaultRowHeight="14.4" x14ac:dyDescent="0.3"/>
  <cols>
    <col min="1" max="1" width="10.33203125" bestFit="1" customWidth="1"/>
    <col min="2" max="2" width="13.33203125" customWidth="1"/>
    <col min="4" max="4" width="12.44140625" customWidth="1"/>
    <col min="5" max="5" width="10.88671875" customWidth="1"/>
    <col min="6" max="6" width="11" customWidth="1"/>
    <col min="7" max="7" width="14.5546875" customWidth="1"/>
    <col min="8" max="8" width="12" customWidth="1"/>
    <col min="11" max="11" width="13.88671875" bestFit="1" customWidth="1"/>
  </cols>
  <sheetData>
    <row r="1" spans="1:11" ht="28.8" x14ac:dyDescent="0.3">
      <c r="A1" s="1" t="s">
        <v>0</v>
      </c>
      <c r="B1" s="1" t="s">
        <v>1</v>
      </c>
      <c r="C1" s="1" t="s">
        <v>2</v>
      </c>
      <c r="D1" s="1" t="s">
        <v>3</v>
      </c>
      <c r="E1" s="3" t="s">
        <v>32</v>
      </c>
      <c r="F1" s="3" t="s">
        <v>4</v>
      </c>
      <c r="G1" s="3" t="s">
        <v>5</v>
      </c>
      <c r="H1" s="3" t="s">
        <v>31</v>
      </c>
      <c r="I1" s="3" t="s">
        <v>33</v>
      </c>
      <c r="K1" s="3" t="s">
        <v>27</v>
      </c>
    </row>
    <row r="2" spans="1:11" x14ac:dyDescent="0.3">
      <c r="A2" s="4">
        <v>44211</v>
      </c>
      <c r="B2" s="5" t="s">
        <v>6</v>
      </c>
      <c r="C2" s="5" t="s">
        <v>7</v>
      </c>
      <c r="D2" s="5" t="s">
        <v>8</v>
      </c>
      <c r="E2" s="2">
        <v>84</v>
      </c>
      <c r="F2" s="2">
        <v>6000</v>
      </c>
      <c r="G2" s="2">
        <v>4000</v>
      </c>
      <c r="H2" s="2">
        <v>504000</v>
      </c>
      <c r="I2">
        <f>H2-(G2*E2)</f>
        <v>168000</v>
      </c>
      <c r="K2" s="6">
        <f>SUM(H2:H26)</f>
        <v>8378000</v>
      </c>
    </row>
    <row r="3" spans="1:11" x14ac:dyDescent="0.3">
      <c r="A3" s="4">
        <v>44218</v>
      </c>
      <c r="B3" s="5" t="s">
        <v>9</v>
      </c>
      <c r="C3" s="5" t="s">
        <v>10</v>
      </c>
      <c r="D3" s="5" t="s">
        <v>11</v>
      </c>
      <c r="E3" s="2">
        <v>128</v>
      </c>
      <c r="F3" s="2">
        <v>3500</v>
      </c>
      <c r="G3" s="2">
        <v>2500</v>
      </c>
      <c r="H3" s="2">
        <v>448000</v>
      </c>
      <c r="I3">
        <f t="shared" ref="I3:I26" si="0">H3-(G3*E3)</f>
        <v>128000</v>
      </c>
      <c r="K3" t="s">
        <v>28</v>
      </c>
    </row>
    <row r="4" spans="1:11" x14ac:dyDescent="0.3">
      <c r="A4" s="4">
        <v>44232</v>
      </c>
      <c r="B4" s="5" t="s">
        <v>12</v>
      </c>
      <c r="C4" s="5" t="s">
        <v>13</v>
      </c>
      <c r="D4" s="5" t="s">
        <v>14</v>
      </c>
      <c r="E4" s="2">
        <v>136</v>
      </c>
      <c r="F4" s="2">
        <v>1200</v>
      </c>
      <c r="G4" s="2">
        <v>800</v>
      </c>
      <c r="H4" s="2">
        <v>163200</v>
      </c>
      <c r="I4">
        <f>H4-(G4*E4)</f>
        <v>54400</v>
      </c>
      <c r="K4" s="6">
        <f>SUM(E2:E26)</f>
        <v>2410</v>
      </c>
    </row>
    <row r="5" spans="1:11" x14ac:dyDescent="0.3">
      <c r="A5" s="4">
        <v>44245</v>
      </c>
      <c r="B5" s="5" t="s">
        <v>15</v>
      </c>
      <c r="C5" s="5" t="s">
        <v>16</v>
      </c>
      <c r="D5" s="5" t="s">
        <v>17</v>
      </c>
      <c r="E5" s="2">
        <v>91</v>
      </c>
      <c r="F5" s="2">
        <v>1000</v>
      </c>
      <c r="G5" s="2">
        <v>700</v>
      </c>
      <c r="H5" s="2">
        <v>91000</v>
      </c>
      <c r="I5">
        <f t="shared" si="0"/>
        <v>27300</v>
      </c>
      <c r="K5" t="s">
        <v>29</v>
      </c>
    </row>
    <row r="6" spans="1:11" x14ac:dyDescent="0.3">
      <c r="A6" s="4">
        <v>44258</v>
      </c>
      <c r="B6" s="5" t="s">
        <v>18</v>
      </c>
      <c r="C6" s="5" t="s">
        <v>7</v>
      </c>
      <c r="D6" s="5" t="s">
        <v>19</v>
      </c>
      <c r="E6" s="2">
        <v>110</v>
      </c>
      <c r="F6" s="2">
        <v>4000</v>
      </c>
      <c r="G6" s="2">
        <v>3000</v>
      </c>
      <c r="H6" s="2">
        <v>440000</v>
      </c>
      <c r="I6">
        <f t="shared" si="0"/>
        <v>110000</v>
      </c>
      <c r="K6" s="6">
        <f>SUM(I2:I26)</f>
        <v>2465100</v>
      </c>
    </row>
    <row r="7" spans="1:11" x14ac:dyDescent="0.3">
      <c r="A7" s="4">
        <v>44269</v>
      </c>
      <c r="B7" s="5" t="s">
        <v>20</v>
      </c>
      <c r="C7" s="5" t="s">
        <v>10</v>
      </c>
      <c r="D7" s="5" t="s">
        <v>14</v>
      </c>
      <c r="E7" s="2">
        <v>51</v>
      </c>
      <c r="F7" s="2">
        <v>1200</v>
      </c>
      <c r="G7" s="2">
        <v>800</v>
      </c>
      <c r="H7" s="2">
        <v>61200</v>
      </c>
      <c r="I7">
        <f t="shared" si="0"/>
        <v>20400</v>
      </c>
      <c r="K7" t="s">
        <v>30</v>
      </c>
    </row>
    <row r="8" spans="1:11" x14ac:dyDescent="0.3">
      <c r="A8" s="4">
        <v>44283</v>
      </c>
      <c r="B8" s="5" t="s">
        <v>21</v>
      </c>
      <c r="C8" s="5" t="s">
        <v>16</v>
      </c>
      <c r="D8" s="5" t="s">
        <v>17</v>
      </c>
      <c r="E8" s="2">
        <v>78</v>
      </c>
      <c r="F8" s="2">
        <v>1000</v>
      </c>
      <c r="G8" s="2">
        <v>700</v>
      </c>
      <c r="H8" s="2">
        <v>78000</v>
      </c>
      <c r="I8">
        <f t="shared" si="0"/>
        <v>23400</v>
      </c>
      <c r="K8" s="6">
        <f>AVERAGE(H2:H26)</f>
        <v>335120</v>
      </c>
    </row>
    <row r="9" spans="1:11" x14ac:dyDescent="0.3">
      <c r="A9" s="4">
        <v>44296</v>
      </c>
      <c r="B9" s="5" t="s">
        <v>22</v>
      </c>
      <c r="C9" s="5" t="s">
        <v>13</v>
      </c>
      <c r="D9" s="5" t="s">
        <v>8</v>
      </c>
      <c r="E9" s="2">
        <v>146</v>
      </c>
      <c r="F9" s="2">
        <v>6000</v>
      </c>
      <c r="G9" s="2">
        <v>4000</v>
      </c>
      <c r="H9" s="2">
        <v>876000</v>
      </c>
      <c r="I9">
        <f t="shared" si="0"/>
        <v>292000</v>
      </c>
    </row>
    <row r="10" spans="1:11" x14ac:dyDescent="0.3">
      <c r="A10" s="4">
        <v>44307</v>
      </c>
      <c r="B10" s="5" t="s">
        <v>23</v>
      </c>
      <c r="C10" s="5" t="s">
        <v>7</v>
      </c>
      <c r="D10" s="5" t="s">
        <v>24</v>
      </c>
      <c r="E10" s="2">
        <v>101</v>
      </c>
      <c r="F10" s="2">
        <v>600</v>
      </c>
      <c r="G10" s="2">
        <v>400</v>
      </c>
      <c r="H10" s="2">
        <v>60600</v>
      </c>
      <c r="I10">
        <f t="shared" si="0"/>
        <v>20200</v>
      </c>
    </row>
    <row r="11" spans="1:11" x14ac:dyDescent="0.3">
      <c r="A11" s="4">
        <v>44323</v>
      </c>
      <c r="B11" s="5" t="s">
        <v>25</v>
      </c>
      <c r="C11" s="5" t="s">
        <v>13</v>
      </c>
      <c r="D11" s="5" t="s">
        <v>8</v>
      </c>
      <c r="E11" s="2">
        <v>52</v>
      </c>
      <c r="F11" s="2">
        <v>6000</v>
      </c>
      <c r="G11" s="2">
        <v>4000</v>
      </c>
      <c r="H11" s="2">
        <v>312000</v>
      </c>
      <c r="I11">
        <f t="shared" si="0"/>
        <v>104000</v>
      </c>
    </row>
    <row r="12" spans="1:11" x14ac:dyDescent="0.3">
      <c r="A12" s="4">
        <v>44335</v>
      </c>
      <c r="B12" s="5" t="s">
        <v>25</v>
      </c>
      <c r="C12" s="5" t="s">
        <v>10</v>
      </c>
      <c r="D12" s="5" t="s">
        <v>14</v>
      </c>
      <c r="E12" s="2">
        <v>55</v>
      </c>
      <c r="F12" s="2">
        <v>1200</v>
      </c>
      <c r="G12" s="2">
        <v>800</v>
      </c>
      <c r="H12" s="2">
        <v>66000</v>
      </c>
      <c r="I12">
        <f t="shared" si="0"/>
        <v>22000</v>
      </c>
    </row>
    <row r="13" spans="1:11" x14ac:dyDescent="0.3">
      <c r="A13" s="4">
        <v>44348</v>
      </c>
      <c r="B13" s="5" t="s">
        <v>25</v>
      </c>
      <c r="C13" s="5" t="s">
        <v>13</v>
      </c>
      <c r="D13" s="5" t="s">
        <v>17</v>
      </c>
      <c r="E13" s="2">
        <v>137</v>
      </c>
      <c r="F13" s="2">
        <v>1000</v>
      </c>
      <c r="G13" s="2">
        <v>700</v>
      </c>
      <c r="H13" s="2">
        <v>137000</v>
      </c>
      <c r="I13">
        <f t="shared" si="0"/>
        <v>41100</v>
      </c>
    </row>
    <row r="14" spans="1:11" x14ac:dyDescent="0.3">
      <c r="A14" s="4">
        <v>44363</v>
      </c>
      <c r="B14" s="5" t="s">
        <v>22</v>
      </c>
      <c r="C14" s="5" t="s">
        <v>13</v>
      </c>
      <c r="D14" s="5" t="s">
        <v>11</v>
      </c>
      <c r="E14" s="2">
        <v>96</v>
      </c>
      <c r="F14" s="2">
        <v>3500</v>
      </c>
      <c r="G14" s="2">
        <v>2500</v>
      </c>
      <c r="H14" s="2">
        <v>336000</v>
      </c>
      <c r="I14">
        <f t="shared" si="0"/>
        <v>96000</v>
      </c>
    </row>
    <row r="15" spans="1:11" x14ac:dyDescent="0.3">
      <c r="A15" s="4">
        <v>44377</v>
      </c>
      <c r="B15" s="5" t="s">
        <v>23</v>
      </c>
      <c r="C15" s="5" t="s">
        <v>10</v>
      </c>
      <c r="D15" s="5" t="s">
        <v>19</v>
      </c>
      <c r="E15" s="2">
        <v>52</v>
      </c>
      <c r="F15" s="2">
        <v>4000</v>
      </c>
      <c r="G15" s="2">
        <v>3000</v>
      </c>
      <c r="H15" s="2">
        <v>208000</v>
      </c>
      <c r="I15">
        <f t="shared" si="0"/>
        <v>52000</v>
      </c>
    </row>
    <row r="16" spans="1:11" x14ac:dyDescent="0.3">
      <c r="A16" s="4">
        <v>44389</v>
      </c>
      <c r="B16" s="5" t="s">
        <v>15</v>
      </c>
      <c r="C16" s="5" t="s">
        <v>7</v>
      </c>
      <c r="D16" s="5" t="s">
        <v>11</v>
      </c>
      <c r="E16" s="2">
        <v>76</v>
      </c>
      <c r="F16" s="2">
        <v>3500</v>
      </c>
      <c r="G16" s="2">
        <v>2500</v>
      </c>
      <c r="H16" s="2">
        <v>266000</v>
      </c>
      <c r="I16">
        <f t="shared" si="0"/>
        <v>76000</v>
      </c>
    </row>
    <row r="17" spans="1:9" x14ac:dyDescent="0.3">
      <c r="A17" s="4">
        <v>44402</v>
      </c>
      <c r="B17" s="5" t="s">
        <v>9</v>
      </c>
      <c r="C17" s="5" t="s">
        <v>16</v>
      </c>
      <c r="D17" s="5" t="s">
        <v>19</v>
      </c>
      <c r="E17" s="2">
        <v>145</v>
      </c>
      <c r="F17" s="2">
        <v>4000</v>
      </c>
      <c r="G17" s="2">
        <v>3000</v>
      </c>
      <c r="H17" s="2">
        <v>580000</v>
      </c>
      <c r="I17">
        <f t="shared" si="0"/>
        <v>145000</v>
      </c>
    </row>
    <row r="18" spans="1:9" x14ac:dyDescent="0.3">
      <c r="A18" s="4">
        <v>44416</v>
      </c>
      <c r="B18" s="5" t="s">
        <v>6</v>
      </c>
      <c r="C18" s="5" t="s">
        <v>13</v>
      </c>
      <c r="D18" s="5" t="s">
        <v>24</v>
      </c>
      <c r="E18" s="2">
        <v>83</v>
      </c>
      <c r="F18" s="2">
        <v>600</v>
      </c>
      <c r="G18" s="2">
        <v>400</v>
      </c>
      <c r="H18" s="2">
        <v>49800</v>
      </c>
      <c r="I18">
        <f t="shared" si="0"/>
        <v>16600</v>
      </c>
    </row>
    <row r="19" spans="1:9" x14ac:dyDescent="0.3">
      <c r="A19" s="4">
        <v>44428</v>
      </c>
      <c r="B19" s="5" t="s">
        <v>18</v>
      </c>
      <c r="C19" s="5" t="s">
        <v>13</v>
      </c>
      <c r="D19" s="5" t="s">
        <v>17</v>
      </c>
      <c r="E19" s="2">
        <v>91</v>
      </c>
      <c r="F19" s="2">
        <v>1000</v>
      </c>
      <c r="G19" s="2">
        <v>700</v>
      </c>
      <c r="H19" s="2">
        <v>91000</v>
      </c>
      <c r="I19">
        <f t="shared" si="0"/>
        <v>27300</v>
      </c>
    </row>
    <row r="20" spans="1:9" x14ac:dyDescent="0.3">
      <c r="A20" s="4">
        <v>44444</v>
      </c>
      <c r="B20" s="5" t="s">
        <v>20</v>
      </c>
      <c r="C20" s="5" t="s">
        <v>7</v>
      </c>
      <c r="D20" s="5" t="s">
        <v>26</v>
      </c>
      <c r="E20" s="2">
        <v>108</v>
      </c>
      <c r="F20" s="2">
        <v>10000</v>
      </c>
      <c r="G20" s="2">
        <v>7000</v>
      </c>
      <c r="H20" s="2">
        <v>1080000</v>
      </c>
      <c r="I20">
        <f t="shared" si="0"/>
        <v>324000</v>
      </c>
    </row>
    <row r="21" spans="1:9" x14ac:dyDescent="0.3">
      <c r="A21" s="4">
        <v>44456</v>
      </c>
      <c r="B21" s="5" t="s">
        <v>12</v>
      </c>
      <c r="C21" s="5" t="s">
        <v>16</v>
      </c>
      <c r="D21" s="5" t="s">
        <v>19</v>
      </c>
      <c r="E21" s="2">
        <v>144</v>
      </c>
      <c r="F21" s="2">
        <v>4000</v>
      </c>
      <c r="G21" s="2">
        <v>3000</v>
      </c>
      <c r="H21" s="2">
        <v>576000</v>
      </c>
      <c r="I21">
        <f t="shared" si="0"/>
        <v>144000</v>
      </c>
    </row>
    <row r="22" spans="1:9" x14ac:dyDescent="0.3">
      <c r="A22" s="4">
        <v>44468</v>
      </c>
      <c r="B22" s="5" t="s">
        <v>18</v>
      </c>
      <c r="C22" s="5" t="s">
        <v>13</v>
      </c>
      <c r="D22" s="5" t="s">
        <v>24</v>
      </c>
      <c r="E22" s="2">
        <v>92</v>
      </c>
      <c r="F22" s="2">
        <v>600</v>
      </c>
      <c r="G22" s="2">
        <v>400</v>
      </c>
      <c r="H22" s="2">
        <v>55200</v>
      </c>
      <c r="I22">
        <f t="shared" si="0"/>
        <v>18400</v>
      </c>
    </row>
    <row r="23" spans="1:9" x14ac:dyDescent="0.3">
      <c r="A23" s="4">
        <v>44480</v>
      </c>
      <c r="B23" s="5" t="s">
        <v>22</v>
      </c>
      <c r="C23" s="5" t="s">
        <v>7</v>
      </c>
      <c r="D23" s="5" t="s">
        <v>8</v>
      </c>
      <c r="E23" s="2">
        <v>71</v>
      </c>
      <c r="F23" s="2">
        <v>6000</v>
      </c>
      <c r="G23" s="2">
        <v>4000</v>
      </c>
      <c r="H23" s="2">
        <v>426000</v>
      </c>
      <c r="I23">
        <f t="shared" si="0"/>
        <v>142000</v>
      </c>
    </row>
    <row r="24" spans="1:9" x14ac:dyDescent="0.3">
      <c r="A24" s="4">
        <v>44493</v>
      </c>
      <c r="B24" s="5" t="s">
        <v>9</v>
      </c>
      <c r="C24" s="5" t="s">
        <v>10</v>
      </c>
      <c r="D24" s="5" t="s">
        <v>26</v>
      </c>
      <c r="E24" s="2">
        <v>65</v>
      </c>
      <c r="F24" s="2">
        <v>10000</v>
      </c>
      <c r="G24" s="2">
        <v>7000</v>
      </c>
      <c r="H24" s="2">
        <v>650000</v>
      </c>
      <c r="I24">
        <f t="shared" si="0"/>
        <v>195000</v>
      </c>
    </row>
    <row r="25" spans="1:9" x14ac:dyDescent="0.3">
      <c r="A25" s="4">
        <v>44508</v>
      </c>
      <c r="B25" s="5" t="s">
        <v>6</v>
      </c>
      <c r="C25" s="5" t="s">
        <v>16</v>
      </c>
      <c r="D25" s="5" t="s">
        <v>11</v>
      </c>
      <c r="E25" s="2">
        <v>98</v>
      </c>
      <c r="F25" s="2">
        <v>3500</v>
      </c>
      <c r="G25" s="2">
        <v>2500</v>
      </c>
      <c r="H25" s="2">
        <v>343000</v>
      </c>
      <c r="I25">
        <f t="shared" si="0"/>
        <v>98000</v>
      </c>
    </row>
    <row r="26" spans="1:9" x14ac:dyDescent="0.3">
      <c r="A26" s="4">
        <v>44520</v>
      </c>
      <c r="B26" s="5" t="s">
        <v>23</v>
      </c>
      <c r="C26" s="5" t="s">
        <v>13</v>
      </c>
      <c r="D26" s="5" t="s">
        <v>19</v>
      </c>
      <c r="E26" s="2">
        <v>120</v>
      </c>
      <c r="F26" s="2">
        <v>4000</v>
      </c>
      <c r="G26" s="2">
        <v>3000</v>
      </c>
      <c r="H26" s="2">
        <v>480000</v>
      </c>
      <c r="I26">
        <f t="shared" si="0"/>
        <v>120000</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9" zoomScaleNormal="79" workbookViewId="0">
      <selection activeCell="W12" sqref="W1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Dhanalakshmi Madhesh</dc:creator>
  <cp:lastModifiedBy>Dhanalakshmi Madhesh</cp:lastModifiedBy>
  <dcterms:created xsi:type="dcterms:W3CDTF">2026-06-07T08:18:39Z</dcterms:created>
  <dcterms:modified xsi:type="dcterms:W3CDTF">2026-06-07T12:51:13Z</dcterms:modified>
</cp:coreProperties>
</file>